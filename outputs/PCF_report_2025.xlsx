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Allocation" sheetId="3" state="visible" r:id="rId3"/>
    <sheet xmlns:r="http://schemas.openxmlformats.org/officeDocument/2006/relationships" name="PCF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Corporate GHG" sheetId="6" state="visible" r:id="rId6"/>
    <sheet xmlns:r="http://schemas.openxmlformats.org/officeDocument/2006/relationships" name="Framewor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"/>
    <numFmt numFmtId="166" formatCode="0.0%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b val="1"/>
    </font>
    <font>
      <name val="Arial"/>
      <color rgb="000000FF"/>
    </font>
    <font>
      <name val="Arial"/>
      <i val="1"/>
    </font>
    <font>
      <name val="Arial"/>
      <color theme="1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3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2" fontId="4" fillId="0" borderId="0" pivotButton="0" quotePrefix="0" xfId="0"/>
    <xf numFmtId="4" fontId="4" fillId="0" borderId="0" pivotButton="0" quotePrefix="0" xfId="0"/>
    <xf numFmtId="2" fontId="6" fillId="0" borderId="0" pivotButton="0" quotePrefix="0" xfId="0"/>
    <xf numFmtId="4" fontId="3" fillId="3" borderId="0" pivotButton="0" quotePrefix="0" xfId="0"/>
    <xf numFmtId="167" fontId="3" fillId="0" borderId="0" pivotButton="0" quotePrefix="0" xfId="0"/>
    <xf numFmtId="4" fontId="3" fillId="0" borderId="0" pivotButton="0" quotePrefix="0" xfId="0"/>
    <xf numFmtId="166" fontId="3" fillId="3" borderId="0" pivotButton="0" quotePrefix="0" xfId="0"/>
    <xf numFmtId="165" fontId="6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Battery pack product carbon footprint (cradle to gate)</t>
        </is>
      </c>
    </row>
    <row r="2">
      <c r="A2" s="2" t="inlineStr">
        <is>
          <t>Example Battery Assembly GmbH (fictional), reporting period 2025</t>
        </is>
      </c>
    </row>
    <row r="3">
      <c r="A3" s="2" t="inlineStr"/>
    </row>
    <row r="4">
      <c r="A4" s="3" t="inlineStr">
        <is>
          <t>Illustrative portfolio model with literature-style values. Not real company data.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Blue text = inputs you can edit (Inputs and PCF sheets). Black text = formulas.</t>
        </is>
      </c>
    </row>
    <row r="8">
      <c r="A8" s="2" t="inlineStr">
        <is>
          <t>Change any blue value and every result updates automatically.</t>
        </is>
      </c>
    </row>
    <row r="9">
      <c r="A9" s="2" t="inlineStr"/>
    </row>
    <row r="10">
      <c r="A10" s="3" t="inlineStr">
        <is>
          <t>Method</t>
        </is>
      </c>
    </row>
    <row r="11">
      <c r="A11" s="2" t="inlineStr">
        <is>
          <t>Declared unit: one battery pack of each variant (S, M, L).</t>
        </is>
      </c>
    </row>
    <row r="12">
      <c r="A12" s="2" t="inlineStr">
        <is>
          <t>Boundary: cradle to gate (materials, inbound transport, pack assembly). Use and end of life excluded.</t>
        </is>
      </c>
    </row>
    <row r="13">
      <c r="A13" s="2" t="inlineStr">
        <is>
          <t>Impact: climate change, GWP100, kg CO2e, in line with ISO 14067.</t>
        </is>
      </c>
    </row>
    <row r="14">
      <c r="A14" s="2" t="inlineStr">
        <is>
          <t>Site energy allocated to variants by total assembly time (volume x minutes per unit).</t>
        </is>
      </c>
    </row>
    <row r="15">
      <c r="A15" s="2" t="inlineStr"/>
    </row>
    <row r="16">
      <c r="A16" s="3" t="inlineStr">
        <is>
          <t>Sheets</t>
        </is>
      </c>
    </row>
    <row r="17">
      <c r="A17" s="2" t="inlineStr">
        <is>
          <t>Inputs: site energy, emission factors and variant data</t>
        </is>
      </c>
    </row>
    <row r="18">
      <c r="A18" s="2" t="inlineStr">
        <is>
          <t>Allocation: splits site electricity and gas across variants</t>
        </is>
      </c>
    </row>
    <row r="19">
      <c r="A19" s="2" t="inlineStr">
        <is>
          <t>PCF: component inventory and footprint per pack</t>
        </is>
      </c>
    </row>
    <row r="20">
      <c r="A20" s="2" t="inlineStr">
        <is>
          <t>Summary: hotspots by category</t>
        </is>
      </c>
    </row>
    <row r="21">
      <c r="A21" s="2" t="inlineStr">
        <is>
          <t>Corporate GHG: annual Scope 1, 2 and 3 roll-up and intensity</t>
        </is>
      </c>
    </row>
    <row r="22">
      <c r="A22" s="2" t="inlineStr">
        <is>
          <t>Frameworks: where each number feeds GHG Protocol, CSRD, TCFD and EU Taxonomy reporting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2" customWidth="1" min="3" max="3"/>
    <col width="26" customWidth="1" min="4" max="4"/>
  </cols>
  <sheetData>
    <row r="1">
      <c r="A1" s="1" t="inlineStr">
        <is>
          <t>Inputs</t>
        </is>
      </c>
    </row>
    <row r="2"/>
    <row r="3">
      <c r="A3" s="4" t="inlineStr">
        <is>
          <t>Site data</t>
        </is>
      </c>
      <c r="B3" s="4" t="inlineStr">
        <is>
          <t>Value</t>
        </is>
      </c>
      <c r="C3" s="4" t="inlineStr">
        <is>
          <t>Unit</t>
        </is>
      </c>
    </row>
    <row r="4">
      <c r="A4" s="2" t="inlineStr">
        <is>
          <t>Reporting period</t>
        </is>
      </c>
      <c r="B4" s="5" t="inlineStr">
        <is>
          <t>2025</t>
        </is>
      </c>
      <c r="C4" s="2" t="inlineStr"/>
    </row>
    <row r="5">
      <c r="A5" s="2" t="inlineStr">
        <is>
          <t>Site electricity</t>
        </is>
      </c>
      <c r="B5" s="6" t="n">
        <v>180000</v>
      </c>
      <c r="C5" s="2" t="inlineStr">
        <is>
          <t>kWh per year</t>
        </is>
      </c>
    </row>
    <row r="6">
      <c r="A6" s="2" t="inlineStr">
        <is>
          <t>Site natural gas</t>
        </is>
      </c>
      <c r="B6" s="6" t="n">
        <v>40000</v>
      </c>
      <c r="C6" s="2" t="inlineStr">
        <is>
          <t>kWh per year</t>
        </is>
      </c>
    </row>
    <row r="7">
      <c r="A7" s="2" t="inlineStr">
        <is>
          <t>Grid emission factor (location-based)</t>
        </is>
      </c>
      <c r="B7" s="7" t="n">
        <v>0.38</v>
      </c>
      <c r="C7" s="2" t="inlineStr">
        <is>
          <t>kg CO2e per kWh</t>
        </is>
      </c>
    </row>
    <row r="8">
      <c r="A8" s="2" t="inlineStr">
        <is>
          <t>Natural gas emission factor</t>
        </is>
      </c>
      <c r="B8" s="7" t="n">
        <v>0.2</v>
      </c>
      <c r="C8" s="2" t="inlineStr">
        <is>
          <t>kg CO2e per kWh</t>
        </is>
      </c>
    </row>
    <row r="9"/>
    <row r="10">
      <c r="A10" s="4" t="inlineStr">
        <is>
          <t>Variant</t>
        </is>
      </c>
      <c r="B10" s="4" t="inlineStr">
        <is>
          <t>Capacity (kWh)</t>
        </is>
      </c>
      <c r="C10" s="4" t="inlineStr">
        <is>
          <t>Annual volume (units)</t>
        </is>
      </c>
      <c r="D10" s="4" t="inlineStr">
        <is>
          <t>Assembly time (min per unit)</t>
        </is>
      </c>
    </row>
    <row r="11">
      <c r="A11" s="2" t="inlineStr">
        <is>
          <t>S</t>
        </is>
      </c>
      <c r="B11" s="8" t="n">
        <v>0.5</v>
      </c>
      <c r="C11" s="6" t="n">
        <v>20000</v>
      </c>
      <c r="D11" s="6" t="n">
        <v>12</v>
      </c>
    </row>
    <row r="12">
      <c r="A12" s="2" t="inlineStr">
        <is>
          <t>M</t>
        </is>
      </c>
      <c r="B12" s="8" t="n">
        <v>1</v>
      </c>
      <c r="C12" s="6" t="n">
        <v>15000</v>
      </c>
      <c r="D12" s="6" t="n">
        <v>18</v>
      </c>
    </row>
    <row r="13">
      <c r="A13" s="2" t="inlineStr">
        <is>
          <t>L</t>
        </is>
      </c>
      <c r="B13" s="8" t="n">
        <v>2</v>
      </c>
      <c r="C13" s="6" t="n">
        <v>8000</v>
      </c>
      <c r="D13" s="6" t="n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4" customWidth="1" min="4" max="4"/>
    <col width="12" customWidth="1" min="5" max="5"/>
    <col width="24" customWidth="1" min="6" max="6"/>
    <col width="24" customWidth="1" min="7" max="7"/>
  </cols>
  <sheetData>
    <row r="1">
      <c r="A1" s="1" t="inlineStr">
        <is>
          <t>Site energy allocation by assembly time</t>
        </is>
      </c>
    </row>
    <row r="2"/>
    <row r="3">
      <c r="A3" s="4" t="inlineStr">
        <is>
          <t>Variant</t>
        </is>
      </c>
      <c r="B3" s="4" t="inlineStr">
        <is>
          <t>Annual volume</t>
        </is>
      </c>
      <c r="C3" s="4" t="inlineStr">
        <is>
          <t>Assembly min per unit</t>
        </is>
      </c>
      <c r="D3" s="4" t="inlineStr">
        <is>
          <t>Total assembly time (min)</t>
        </is>
      </c>
      <c r="E3" s="4" t="inlineStr">
        <is>
          <t>Time share</t>
        </is>
      </c>
      <c r="F3" s="4" t="inlineStr">
        <is>
          <t>Electricity (kWh per unit)</t>
        </is>
      </c>
      <c r="G3" s="4" t="inlineStr">
        <is>
          <t>Natural gas (kWh per unit)</t>
        </is>
      </c>
    </row>
    <row r="4">
      <c r="A4" s="9">
        <f>Inputs!A11</f>
        <v/>
      </c>
      <c r="B4" s="10">
        <f>Inputs!C11</f>
        <v/>
      </c>
      <c r="C4" s="10">
        <f>Inputs!D11</f>
        <v/>
      </c>
      <c r="D4" s="10">
        <f>B4*C4</f>
        <v/>
      </c>
      <c r="E4" s="11">
        <f>D4/SUM($D$4:$D$6)</f>
        <v/>
      </c>
      <c r="F4" s="12">
        <f>IF(B4=0,0,Inputs!$B$5*E4/B4)</f>
        <v/>
      </c>
      <c r="G4" s="12">
        <f>IF(B4=0,0,Inputs!$B$6*E4/B4)</f>
        <v/>
      </c>
    </row>
    <row r="5">
      <c r="A5" s="9">
        <f>Inputs!A12</f>
        <v/>
      </c>
      <c r="B5" s="10">
        <f>Inputs!C12</f>
        <v/>
      </c>
      <c r="C5" s="10">
        <f>Inputs!D12</f>
        <v/>
      </c>
      <c r="D5" s="10">
        <f>B5*C5</f>
        <v/>
      </c>
      <c r="E5" s="11">
        <f>D5/SUM($D$4:$D$6)</f>
        <v/>
      </c>
      <c r="F5" s="12">
        <f>IF(B5=0,0,Inputs!$B$5*E5/B5)</f>
        <v/>
      </c>
      <c r="G5" s="12">
        <f>IF(B5=0,0,Inputs!$B$6*E5/B5)</f>
        <v/>
      </c>
    </row>
    <row r="6">
      <c r="A6" s="9">
        <f>Inputs!A13</f>
        <v/>
      </c>
      <c r="B6" s="10">
        <f>Inputs!C13</f>
        <v/>
      </c>
      <c r="C6" s="10">
        <f>Inputs!D13</f>
        <v/>
      </c>
      <c r="D6" s="10">
        <f>B6*C6</f>
        <v/>
      </c>
      <c r="E6" s="11">
        <f>D6/SUM($D$4:$D$6)</f>
        <v/>
      </c>
      <c r="F6" s="12">
        <f>IF(B6=0,0,Inputs!$B$5*E6/B6)</f>
        <v/>
      </c>
      <c r="G6" s="12">
        <f>IF(B6=0,0,Inputs!$B$6*E6/B6)</f>
        <v/>
      </c>
    </row>
    <row r="7">
      <c r="A7" s="3" t="inlineStr">
        <is>
          <t>Total</t>
        </is>
      </c>
      <c r="D7" s="10">
        <f>SUM(D4:D6)</f>
        <v/>
      </c>
      <c r="E7" s="11">
        <f>SUM(E4:E6)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5" customWidth="1" min="3" max="3"/>
    <col width="11" customWidth="1" min="4" max="4"/>
    <col width="7" customWidth="1" min="5" max="5"/>
    <col width="18" customWidth="1" min="6" max="6"/>
    <col width="45" customWidth="1" min="7" max="7"/>
    <col width="11" customWidth="1" min="8" max="8"/>
    <col width="11" customWidth="1" min="9" max="9"/>
    <col width="11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Product carbon footprint per pack (kg CO2e)</t>
        </is>
      </c>
    </row>
    <row r="2"/>
    <row r="3">
      <c r="A3" s="4" t="inlineStr">
        <is>
          <t>Component</t>
        </is>
      </c>
      <c r="B3" s="4" t="inlineStr">
        <is>
          <t>Category</t>
        </is>
      </c>
      <c r="C3" s="4" t="inlineStr">
        <is>
          <t>GHG scope</t>
        </is>
      </c>
      <c r="D3" s="4" t="inlineStr">
        <is>
          <t>Data type</t>
        </is>
      </c>
      <c r="E3" s="4" t="inlineStr">
        <is>
          <t>Unit</t>
        </is>
      </c>
      <c r="F3" s="4" t="inlineStr">
        <is>
          <t>Emission factor (kg CO2e per unit)</t>
        </is>
      </c>
      <c r="G3" s="4" t="inlineStr">
        <is>
          <t>Factor source</t>
        </is>
      </c>
      <c r="H3" s="4" t="inlineStr">
        <is>
          <t>Amount S</t>
        </is>
      </c>
      <c r="I3" s="4" t="inlineStr">
        <is>
          <t>Amount M</t>
        </is>
      </c>
      <c r="J3" s="4" t="inlineStr">
        <is>
          <t>Amount L</t>
        </is>
      </c>
      <c r="K3" s="4" t="inlineStr">
        <is>
          <t>kg CO2e S</t>
        </is>
      </c>
      <c r="L3" s="4" t="inlineStr">
        <is>
          <t>kg CO2e M</t>
        </is>
      </c>
      <c r="M3" s="4" t="inlineStr">
        <is>
          <t>kg CO2e L</t>
        </is>
      </c>
    </row>
    <row r="4">
      <c r="A4" s="2" t="inlineStr">
        <is>
          <t>Li-ion cells (NMC811)</t>
        </is>
      </c>
      <c r="B4" s="2" t="inlineStr">
        <is>
          <t>Battery cells</t>
        </is>
      </c>
      <c r="C4" s="2" t="inlineStr">
        <is>
          <t>Scope 3 Cat 1</t>
        </is>
      </c>
      <c r="D4" s="2" t="inlineStr">
        <is>
          <t>Secondary</t>
        </is>
      </c>
      <c r="E4" s="2" t="inlineStr">
        <is>
          <t>kWh</t>
        </is>
      </c>
      <c r="F4" s="13" t="n">
        <v>75</v>
      </c>
      <c r="G4" s="2" t="inlineStr">
        <is>
          <t>Illustrative literature value; replace with supplier or Ecoinvent data</t>
        </is>
      </c>
      <c r="H4" s="14" t="n">
        <v>0.5</v>
      </c>
      <c r="I4" s="14" t="n">
        <v>1</v>
      </c>
      <c r="J4" s="14" t="n">
        <v>2</v>
      </c>
      <c r="K4" s="12">
        <f>$F4*H4</f>
        <v/>
      </c>
      <c r="L4" s="12">
        <f>$F4*I4</f>
        <v/>
      </c>
      <c r="M4" s="12">
        <f>$F4*J4</f>
        <v/>
      </c>
    </row>
    <row r="5">
      <c r="A5" s="2" t="inlineStr">
        <is>
          <t>Battery management system (populated PCB)</t>
        </is>
      </c>
      <c r="B5" s="2" t="inlineStr">
        <is>
          <t>Electronics</t>
        </is>
      </c>
      <c r="C5" s="2" t="inlineStr">
        <is>
          <t>Scope 3 Cat 1</t>
        </is>
      </c>
      <c r="D5" s="2" t="inlineStr">
        <is>
          <t>Secondary</t>
        </is>
      </c>
      <c r="E5" s="2" t="inlineStr">
        <is>
          <t>kg</t>
        </is>
      </c>
      <c r="F5" s="13" t="n">
        <v>100</v>
      </c>
      <c r="G5" s="2" t="inlineStr">
        <is>
          <t>Illustrative Ecoinvent-type value for populated PCB</t>
        </is>
      </c>
      <c r="H5" s="14" t="n">
        <v>0.08</v>
      </c>
      <c r="I5" s="14" t="n">
        <v>0.1</v>
      </c>
      <c r="J5" s="14" t="n">
        <v>0.12</v>
      </c>
      <c r="K5" s="12">
        <f>$F5*H5</f>
        <v/>
      </c>
      <c r="L5" s="12">
        <f>$F5*I5</f>
        <v/>
      </c>
      <c r="M5" s="12">
        <f>$F5*J5</f>
        <v/>
      </c>
    </row>
    <row r="6">
      <c r="A6" s="2" t="inlineStr">
        <is>
          <t>Busbars and nickel strips</t>
        </is>
      </c>
      <c r="B6" s="2" t="inlineStr">
        <is>
          <t>Metals</t>
        </is>
      </c>
      <c r="C6" s="2" t="inlineStr">
        <is>
          <t>Scope 3 Cat 1</t>
        </is>
      </c>
      <c r="D6" s="2" t="inlineStr">
        <is>
          <t>Secondary</t>
        </is>
      </c>
      <c r="E6" s="2" t="inlineStr">
        <is>
          <t>kg</t>
        </is>
      </c>
      <c r="F6" s="13" t="n">
        <v>6</v>
      </c>
      <c r="G6" s="2" t="inlineStr">
        <is>
          <t>Illustrative copper/nickel mix</t>
        </is>
      </c>
      <c r="H6" s="14" t="n">
        <v>0.15</v>
      </c>
      <c r="I6" s="14" t="n">
        <v>0.25</v>
      </c>
      <c r="J6" s="14" t="n">
        <v>0.45</v>
      </c>
      <c r="K6" s="12">
        <f>$F6*H6</f>
        <v/>
      </c>
      <c r="L6" s="12">
        <f>$F6*I6</f>
        <v/>
      </c>
      <c r="M6" s="12">
        <f>$F6*J6</f>
        <v/>
      </c>
    </row>
    <row r="7">
      <c r="A7" s="2" t="inlineStr">
        <is>
          <t>Housing (primary aluminium)</t>
        </is>
      </c>
      <c r="B7" s="2" t="inlineStr">
        <is>
          <t>Housing</t>
        </is>
      </c>
      <c r="C7" s="2" t="inlineStr">
        <is>
          <t>Scope 3 Cat 1</t>
        </is>
      </c>
      <c r="D7" s="2" t="inlineStr">
        <is>
          <t>Secondary</t>
        </is>
      </c>
      <c r="E7" s="2" t="inlineStr">
        <is>
          <t>kg</t>
        </is>
      </c>
      <c r="F7" s="13" t="n">
        <v>12</v>
      </c>
      <c r="G7" s="2" t="inlineStr">
        <is>
          <t>Illustrative primary aluminium</t>
        </is>
      </c>
      <c r="H7" s="14" t="n">
        <v>0.8</v>
      </c>
      <c r="I7" s="14" t="n">
        <v>1.2</v>
      </c>
      <c r="J7" s="14" t="n">
        <v>2</v>
      </c>
      <c r="K7" s="12">
        <f>$F7*H7</f>
        <v/>
      </c>
      <c r="L7" s="12">
        <f>$F7*I7</f>
        <v/>
      </c>
      <c r="M7" s="12">
        <f>$F7*J7</f>
        <v/>
      </c>
    </row>
    <row r="8">
      <c r="A8" s="2" t="inlineStr">
        <is>
          <t>Cell holders and insulation (PC/ABS)</t>
        </is>
      </c>
      <c r="B8" s="2" t="inlineStr">
        <is>
          <t>Plastics</t>
        </is>
      </c>
      <c r="C8" s="2" t="inlineStr">
        <is>
          <t>Scope 3 Cat 1</t>
        </is>
      </c>
      <c r="D8" s="2" t="inlineStr">
        <is>
          <t>Secondary</t>
        </is>
      </c>
      <c r="E8" s="2" t="inlineStr">
        <is>
          <t>kg</t>
        </is>
      </c>
      <c r="F8" s="13" t="n">
        <v>3.5</v>
      </c>
      <c r="G8" s="2" t="inlineStr">
        <is>
          <t>Illustrative engineering plastics</t>
        </is>
      </c>
      <c r="H8" s="14" t="n">
        <v>0.3</v>
      </c>
      <c r="I8" s="14" t="n">
        <v>0.5</v>
      </c>
      <c r="J8" s="14" t="n">
        <v>0.8</v>
      </c>
      <c r="K8" s="12">
        <f>$F8*H8</f>
        <v/>
      </c>
      <c r="L8" s="12">
        <f>$F8*I8</f>
        <v/>
      </c>
      <c r="M8" s="12">
        <f>$F8*J8</f>
        <v/>
      </c>
    </row>
    <row r="9">
      <c r="A9" s="2" t="inlineStr">
        <is>
          <t>Thermal pads and adhesive</t>
        </is>
      </c>
      <c r="B9" s="2" t="inlineStr">
        <is>
          <t>Plastics</t>
        </is>
      </c>
      <c r="C9" s="2" t="inlineStr">
        <is>
          <t>Scope 3 Cat 1</t>
        </is>
      </c>
      <c r="D9" s="2" t="inlineStr">
        <is>
          <t>Secondary</t>
        </is>
      </c>
      <c r="E9" s="2" t="inlineStr">
        <is>
          <t>kg</t>
        </is>
      </c>
      <c r="F9" s="13" t="n">
        <v>5</v>
      </c>
      <c r="G9" s="2" t="inlineStr">
        <is>
          <t>Illustrative silicone/adhesive</t>
        </is>
      </c>
      <c r="H9" s="14" t="n">
        <v>0.05</v>
      </c>
      <c r="I9" s="14" t="n">
        <v>0.08</v>
      </c>
      <c r="J9" s="14" t="n">
        <v>0.15</v>
      </c>
      <c r="K9" s="12">
        <f>$F9*H9</f>
        <v/>
      </c>
      <c r="L9" s="12">
        <f>$F9*I9</f>
        <v/>
      </c>
      <c r="M9" s="12">
        <f>$F9*J9</f>
        <v/>
      </c>
    </row>
    <row r="10">
      <c r="A10" s="2" t="inlineStr">
        <is>
          <t>Cables and connectors</t>
        </is>
      </c>
      <c r="B10" s="2" t="inlineStr">
        <is>
          <t>Metals</t>
        </is>
      </c>
      <c r="C10" s="2" t="inlineStr">
        <is>
          <t>Scope 3 Cat 1</t>
        </is>
      </c>
      <c r="D10" s="2" t="inlineStr">
        <is>
          <t>Secondary</t>
        </is>
      </c>
      <c r="E10" s="2" t="inlineStr">
        <is>
          <t>kg</t>
        </is>
      </c>
      <c r="F10" s="13" t="n">
        <v>5</v>
      </c>
      <c r="G10" s="2" t="inlineStr">
        <is>
          <t>Illustrative copper cable</t>
        </is>
      </c>
      <c r="H10" s="14" t="n">
        <v>0.2</v>
      </c>
      <c r="I10" s="14" t="n">
        <v>0.25</v>
      </c>
      <c r="J10" s="14" t="n">
        <v>0.35</v>
      </c>
      <c r="K10" s="12">
        <f>$F10*H10</f>
        <v/>
      </c>
      <c r="L10" s="12">
        <f>$F10*I10</f>
        <v/>
      </c>
      <c r="M10" s="12">
        <f>$F10*J10</f>
        <v/>
      </c>
    </row>
    <row r="11">
      <c r="A11" s="2" t="inlineStr">
        <is>
          <t>Packaging (cardboard)</t>
        </is>
      </c>
      <c r="B11" s="2" t="inlineStr">
        <is>
          <t>Packaging</t>
        </is>
      </c>
      <c r="C11" s="2" t="inlineStr">
        <is>
          <t>Scope 3 Cat 1</t>
        </is>
      </c>
      <c r="D11" s="2" t="inlineStr">
        <is>
          <t>Secondary</t>
        </is>
      </c>
      <c r="E11" s="2" t="inlineStr">
        <is>
          <t>kg</t>
        </is>
      </c>
      <c r="F11" s="13" t="n">
        <v>1</v>
      </c>
      <c r="G11" s="2" t="inlineStr">
        <is>
          <t>Illustrative corrugated board</t>
        </is>
      </c>
      <c r="H11" s="14" t="n">
        <v>0.5</v>
      </c>
      <c r="I11" s="14" t="n">
        <v>0.7</v>
      </c>
      <c r="J11" s="14" t="n">
        <v>1</v>
      </c>
      <c r="K11" s="12">
        <f>$F11*H11</f>
        <v/>
      </c>
      <c r="L11" s="12">
        <f>$F11*I11</f>
        <v/>
      </c>
      <c r="M11" s="12">
        <f>$F11*J11</f>
        <v/>
      </c>
    </row>
    <row r="12">
      <c r="A12" s="2" t="inlineStr">
        <is>
          <t>Inbound transport (sea + truck)</t>
        </is>
      </c>
      <c r="B12" s="2" t="inlineStr">
        <is>
          <t>Transport</t>
        </is>
      </c>
      <c r="C12" s="2" t="inlineStr">
        <is>
          <t>Scope 3 Cat 4</t>
        </is>
      </c>
      <c r="D12" s="2" t="inlineStr">
        <is>
          <t>Secondary</t>
        </is>
      </c>
      <c r="E12" s="2" t="inlineStr">
        <is>
          <t>tkm</t>
        </is>
      </c>
      <c r="F12" s="13" t="n">
        <v>0.02</v>
      </c>
      <c r="G12" s="2" t="inlineStr">
        <is>
          <t>Illustrative blended sea/road freight</t>
        </is>
      </c>
      <c r="H12" s="14" t="n">
        <v>42</v>
      </c>
      <c r="I12" s="14" t="n">
        <v>78</v>
      </c>
      <c r="J12" s="14" t="n">
        <v>150</v>
      </c>
      <c r="K12" s="12">
        <f>$F12*H12</f>
        <v/>
      </c>
      <c r="L12" s="12">
        <f>$F12*I12</f>
        <v/>
      </c>
      <c r="M12" s="12">
        <f>$F12*J12</f>
        <v/>
      </c>
    </row>
    <row r="13">
      <c r="A13" s="2" t="inlineStr">
        <is>
          <t>Assembly electricity (allocated)</t>
        </is>
      </c>
      <c r="B13" s="2" t="inlineStr">
        <is>
          <t>Assembly energy</t>
        </is>
      </c>
      <c r="C13" s="2" t="inlineStr">
        <is>
          <t>Scope 2</t>
        </is>
      </c>
      <c r="D13" s="2" t="inlineStr">
        <is>
          <t>Primary</t>
        </is>
      </c>
      <c r="E13" s="2" t="inlineStr">
        <is>
          <t>kWh</t>
        </is>
      </c>
      <c r="F13" s="15">
        <f>Inputs!$B$7</f>
        <v/>
      </c>
      <c r="G13" s="2" t="inlineStr">
        <is>
          <t>Location-based grid factor</t>
        </is>
      </c>
      <c r="H13" s="12">
        <f>Allocation!F4</f>
        <v/>
      </c>
      <c r="I13" s="12">
        <f>Allocation!F5</f>
        <v/>
      </c>
      <c r="J13" s="12">
        <f>Allocation!F6</f>
        <v/>
      </c>
      <c r="K13" s="12">
        <f>$F13*H13</f>
        <v/>
      </c>
      <c r="L13" s="12">
        <f>$F13*I13</f>
        <v/>
      </c>
      <c r="M13" s="12">
        <f>$F13*J13</f>
        <v/>
      </c>
    </row>
    <row r="14">
      <c r="A14" s="2" t="inlineStr">
        <is>
          <t>Assembly heating, natural gas (allocated)</t>
        </is>
      </c>
      <c r="B14" s="2" t="inlineStr">
        <is>
          <t>Assembly energy</t>
        </is>
      </c>
      <c r="C14" s="2" t="inlineStr">
        <is>
          <t>Scope 1</t>
        </is>
      </c>
      <c r="D14" s="2" t="inlineStr">
        <is>
          <t>Primary</t>
        </is>
      </c>
      <c r="E14" s="2" t="inlineStr">
        <is>
          <t>kWh</t>
        </is>
      </c>
      <c r="F14" s="15">
        <f>Inputs!$B$8</f>
        <v/>
      </c>
      <c r="G14" s="2" t="inlineStr">
        <is>
          <t>Natural gas combustion factor</t>
        </is>
      </c>
      <c r="H14" s="12">
        <f>Allocation!G4</f>
        <v/>
      </c>
      <c r="I14" s="12">
        <f>Allocation!G5</f>
        <v/>
      </c>
      <c r="J14" s="12">
        <f>Allocation!G6</f>
        <v/>
      </c>
      <c r="K14" s="12">
        <f>$F14*H14</f>
        <v/>
      </c>
      <c r="L14" s="12">
        <f>$F14*I14</f>
        <v/>
      </c>
      <c r="M14" s="12">
        <f>$F14*J14</f>
        <v/>
      </c>
    </row>
    <row r="15"/>
    <row r="16">
      <c r="A16" s="3" t="inlineStr">
        <is>
          <t>Total PCF (kg CO2e per pack)</t>
        </is>
      </c>
      <c r="K16" s="16">
        <f>SUM(K4:K14)</f>
        <v/>
      </c>
      <c r="L16" s="16">
        <f>SUM(L4:L14)</f>
        <v/>
      </c>
      <c r="M16" s="16">
        <f>SUM(M4:M14)</f>
        <v/>
      </c>
    </row>
    <row r="17">
      <c r="A17" s="3" t="inlineStr">
        <is>
          <t>Pack capacity (kWh)</t>
        </is>
      </c>
      <c r="K17" s="17">
        <f>Inputs!B11</f>
        <v/>
      </c>
      <c r="L17" s="17">
        <f>Inputs!B12</f>
        <v/>
      </c>
      <c r="M17" s="17">
        <f>Inputs!B13</f>
        <v/>
      </c>
    </row>
    <row r="18">
      <c r="A18" s="3" t="inlineStr">
        <is>
          <t>PCF per kWh capacity (kg CO2e per kWh)</t>
        </is>
      </c>
      <c r="K18" s="18">
        <f>IF(K17=0,0,K16/K17)</f>
        <v/>
      </c>
      <c r="L18" s="18">
        <f>IF(L17=0,0,L16/L17)</f>
        <v/>
      </c>
      <c r="M18" s="18">
        <f>IF(M17=0,0,M16/M17)</f>
        <v/>
      </c>
    </row>
    <row r="19">
      <c r="A19" s="3" t="inlineStr">
        <is>
          <t>Battery cell share of PCF</t>
        </is>
      </c>
      <c r="K19" s="19">
        <f>IF(K16=0,0,SUMIF($B$4:$B$14,"Battery cells",K4:K14)/K16)</f>
        <v/>
      </c>
      <c r="L19" s="19">
        <f>IF(L16=0,0,SUMIF($B$4:$B$14,"Battery cells",L4:L14)/L16)</f>
        <v/>
      </c>
      <c r="M19" s="19">
        <f>IF(M16=0,0,SUMIF($B$4:$B$14,"Battery cells",M4:M14)/M16)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Hotspots by category (kg CO2e per pack)</t>
        </is>
      </c>
    </row>
    <row r="2"/>
    <row r="3">
      <c r="A3" s="4" t="inlineStr">
        <is>
          <t>Category</t>
        </is>
      </c>
      <c r="B3" s="4" t="inlineStr">
        <is>
          <t>Pack S</t>
        </is>
      </c>
      <c r="C3" s="4" t="inlineStr">
        <is>
          <t>Pack M</t>
        </is>
      </c>
      <c r="D3" s="4" t="inlineStr">
        <is>
          <t>Pack L</t>
        </is>
      </c>
      <c r="E3" s="4" t="inlineStr">
        <is>
          <t>Share S</t>
        </is>
      </c>
      <c r="F3" s="4" t="inlineStr">
        <is>
          <t>Share M</t>
        </is>
      </c>
      <c r="G3" s="4" t="inlineStr">
        <is>
          <t>Share L</t>
        </is>
      </c>
    </row>
    <row r="4">
      <c r="A4" s="2" t="inlineStr">
        <is>
          <t>Battery cells</t>
        </is>
      </c>
      <c r="B4" s="12">
        <f>SUMIF(PCF!$B$4:$B$14,$A4,PCF!K$4:K$14)</f>
        <v/>
      </c>
      <c r="C4" s="12">
        <f>SUMIF(PCF!$B$4:$B$14,$A4,PCF!L$4:L$14)</f>
        <v/>
      </c>
      <c r="D4" s="12">
        <f>SUMIF(PCF!$B$4:$B$14,$A4,PCF!M$4:M$14)</f>
        <v/>
      </c>
      <c r="E4" s="11">
        <f>IF(PCF!K$16=0,0,B4/PCF!K$16)</f>
        <v/>
      </c>
      <c r="F4" s="11">
        <f>IF(PCF!L$16=0,0,C4/PCF!L$16)</f>
        <v/>
      </c>
      <c r="G4" s="11">
        <f>IF(PCF!M$16=0,0,D4/PCF!M$16)</f>
        <v/>
      </c>
    </row>
    <row r="5">
      <c r="A5" s="2" t="inlineStr">
        <is>
          <t>Electronics</t>
        </is>
      </c>
      <c r="B5" s="12">
        <f>SUMIF(PCF!$B$4:$B$14,$A5,PCF!K$4:K$14)</f>
        <v/>
      </c>
      <c r="C5" s="12">
        <f>SUMIF(PCF!$B$4:$B$14,$A5,PCF!L$4:L$14)</f>
        <v/>
      </c>
      <c r="D5" s="12">
        <f>SUMIF(PCF!$B$4:$B$14,$A5,PCF!M$4:M$14)</f>
        <v/>
      </c>
      <c r="E5" s="11">
        <f>IF(PCF!K$16=0,0,B5/PCF!K$16)</f>
        <v/>
      </c>
      <c r="F5" s="11">
        <f>IF(PCF!L$16=0,0,C5/PCF!L$16)</f>
        <v/>
      </c>
      <c r="G5" s="11">
        <f>IF(PCF!M$16=0,0,D5/PCF!M$16)</f>
        <v/>
      </c>
    </row>
    <row r="6">
      <c r="A6" s="2" t="inlineStr">
        <is>
          <t>Metals</t>
        </is>
      </c>
      <c r="B6" s="12">
        <f>SUMIF(PCF!$B$4:$B$14,$A6,PCF!K$4:K$14)</f>
        <v/>
      </c>
      <c r="C6" s="12">
        <f>SUMIF(PCF!$B$4:$B$14,$A6,PCF!L$4:L$14)</f>
        <v/>
      </c>
      <c r="D6" s="12">
        <f>SUMIF(PCF!$B$4:$B$14,$A6,PCF!M$4:M$14)</f>
        <v/>
      </c>
      <c r="E6" s="11">
        <f>IF(PCF!K$16=0,0,B6/PCF!K$16)</f>
        <v/>
      </c>
      <c r="F6" s="11">
        <f>IF(PCF!L$16=0,0,C6/PCF!L$16)</f>
        <v/>
      </c>
      <c r="G6" s="11">
        <f>IF(PCF!M$16=0,0,D6/PCF!M$16)</f>
        <v/>
      </c>
    </row>
    <row r="7">
      <c r="A7" s="2" t="inlineStr">
        <is>
          <t>Housing</t>
        </is>
      </c>
      <c r="B7" s="12">
        <f>SUMIF(PCF!$B$4:$B$14,$A7,PCF!K$4:K$14)</f>
        <v/>
      </c>
      <c r="C7" s="12">
        <f>SUMIF(PCF!$B$4:$B$14,$A7,PCF!L$4:L$14)</f>
        <v/>
      </c>
      <c r="D7" s="12">
        <f>SUMIF(PCF!$B$4:$B$14,$A7,PCF!M$4:M$14)</f>
        <v/>
      </c>
      <c r="E7" s="11">
        <f>IF(PCF!K$16=0,0,B7/PCF!K$16)</f>
        <v/>
      </c>
      <c r="F7" s="11">
        <f>IF(PCF!L$16=0,0,C7/PCF!L$16)</f>
        <v/>
      </c>
      <c r="G7" s="11">
        <f>IF(PCF!M$16=0,0,D7/PCF!M$16)</f>
        <v/>
      </c>
    </row>
    <row r="8">
      <c r="A8" s="2" t="inlineStr">
        <is>
          <t>Plastics</t>
        </is>
      </c>
      <c r="B8" s="12">
        <f>SUMIF(PCF!$B$4:$B$14,$A8,PCF!K$4:K$14)</f>
        <v/>
      </c>
      <c r="C8" s="12">
        <f>SUMIF(PCF!$B$4:$B$14,$A8,PCF!L$4:L$14)</f>
        <v/>
      </c>
      <c r="D8" s="12">
        <f>SUMIF(PCF!$B$4:$B$14,$A8,PCF!M$4:M$14)</f>
        <v/>
      </c>
      <c r="E8" s="11">
        <f>IF(PCF!K$16=0,0,B8/PCF!K$16)</f>
        <v/>
      </c>
      <c r="F8" s="11">
        <f>IF(PCF!L$16=0,0,C8/PCF!L$16)</f>
        <v/>
      </c>
      <c r="G8" s="11">
        <f>IF(PCF!M$16=0,0,D8/PCF!M$16)</f>
        <v/>
      </c>
    </row>
    <row r="9">
      <c r="A9" s="2" t="inlineStr">
        <is>
          <t>Packaging</t>
        </is>
      </c>
      <c r="B9" s="12">
        <f>SUMIF(PCF!$B$4:$B$14,$A9,PCF!K$4:K$14)</f>
        <v/>
      </c>
      <c r="C9" s="12">
        <f>SUMIF(PCF!$B$4:$B$14,$A9,PCF!L$4:L$14)</f>
        <v/>
      </c>
      <c r="D9" s="12">
        <f>SUMIF(PCF!$B$4:$B$14,$A9,PCF!M$4:M$14)</f>
        <v/>
      </c>
      <c r="E9" s="11">
        <f>IF(PCF!K$16=0,0,B9/PCF!K$16)</f>
        <v/>
      </c>
      <c r="F9" s="11">
        <f>IF(PCF!L$16=0,0,C9/PCF!L$16)</f>
        <v/>
      </c>
      <c r="G9" s="11">
        <f>IF(PCF!M$16=0,0,D9/PCF!M$16)</f>
        <v/>
      </c>
    </row>
    <row r="10">
      <c r="A10" s="2" t="inlineStr">
        <is>
          <t>Transport</t>
        </is>
      </c>
      <c r="B10" s="12">
        <f>SUMIF(PCF!$B$4:$B$14,$A10,PCF!K$4:K$14)</f>
        <v/>
      </c>
      <c r="C10" s="12">
        <f>SUMIF(PCF!$B$4:$B$14,$A10,PCF!L$4:L$14)</f>
        <v/>
      </c>
      <c r="D10" s="12">
        <f>SUMIF(PCF!$B$4:$B$14,$A10,PCF!M$4:M$14)</f>
        <v/>
      </c>
      <c r="E10" s="11">
        <f>IF(PCF!K$16=0,0,B10/PCF!K$16)</f>
        <v/>
      </c>
      <c r="F10" s="11">
        <f>IF(PCF!L$16=0,0,C10/PCF!L$16)</f>
        <v/>
      </c>
      <c r="G10" s="11">
        <f>IF(PCF!M$16=0,0,D10/PCF!M$16)</f>
        <v/>
      </c>
    </row>
    <row r="11">
      <c r="A11" s="2" t="inlineStr">
        <is>
          <t>Assembly energy</t>
        </is>
      </c>
      <c r="B11" s="12">
        <f>SUMIF(PCF!$B$4:$B$14,$A11,PCF!K$4:K$14)</f>
        <v/>
      </c>
      <c r="C11" s="12">
        <f>SUMIF(PCF!$B$4:$B$14,$A11,PCF!L$4:L$14)</f>
        <v/>
      </c>
      <c r="D11" s="12">
        <f>SUMIF(PCF!$B$4:$B$14,$A11,PCF!M$4:M$14)</f>
        <v/>
      </c>
      <c r="E11" s="11">
        <f>IF(PCF!K$16=0,0,B11/PCF!K$16)</f>
        <v/>
      </c>
      <c r="F11" s="11">
        <f>IF(PCF!L$16=0,0,C11/PCF!L$16)</f>
        <v/>
      </c>
      <c r="G11" s="11">
        <f>IF(PCF!M$16=0,0,D11/PCF!M$16)</f>
        <v/>
      </c>
    </row>
    <row r="12">
      <c r="A12" s="3" t="inlineStr">
        <is>
          <t>Total</t>
        </is>
      </c>
      <c r="B12" s="18">
        <f>SUM(B4:B11)</f>
        <v/>
      </c>
      <c r="C12" s="18">
        <f>SUM(C4:C11)</f>
        <v/>
      </c>
      <c r="D12" s="18">
        <f>SUM(D4:D11)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20" customWidth="1" min="5" max="5"/>
    <col width="10" customWidth="1" min="6" max="6"/>
  </cols>
  <sheetData>
    <row r="1">
      <c r="A1" s="1" t="inlineStr">
        <is>
          <t>Annual GHG inventory roll-up, 2025 (illustrative)</t>
        </is>
      </c>
    </row>
    <row r="2"/>
    <row r="3">
      <c r="A3" s="4" t="inlineStr">
        <is>
          <t>GHG scope</t>
        </is>
      </c>
      <c r="B3" s="4" t="inlineStr">
        <is>
          <t>Per unit S (kg CO2e)</t>
        </is>
      </c>
      <c r="C3" s="4" t="inlineStr">
        <is>
          <t>Per unit M (kg CO2e)</t>
        </is>
      </c>
      <c r="D3" s="4" t="inlineStr">
        <is>
          <t>Per unit L (kg CO2e)</t>
        </is>
      </c>
      <c r="E3" s="4" t="inlineStr">
        <is>
          <t>Annual total (t CO2e)</t>
        </is>
      </c>
      <c r="F3" s="4" t="inlineStr">
        <is>
          <t>Share</t>
        </is>
      </c>
    </row>
    <row r="4">
      <c r="A4" s="2" t="inlineStr">
        <is>
          <t>Scope 1</t>
        </is>
      </c>
      <c r="B4" s="12">
        <f>SUMIF(PCF!$C$4:$C$14,$A4,PCF!K$4:K$14)</f>
        <v/>
      </c>
      <c r="C4" s="12">
        <f>SUMIF(PCF!$C$4:$C$14,$A4,PCF!L$4:L$14)</f>
        <v/>
      </c>
      <c r="D4" s="12">
        <f>SUMIF(PCF!$C$4:$C$14,$A4,PCF!M$4:M$14)</f>
        <v/>
      </c>
      <c r="E4" s="12">
        <f>(B4*Inputs!$C$11+C4*Inputs!$C$12+D4*Inputs!$C$13)/1000</f>
        <v/>
      </c>
      <c r="F4" s="11">
        <f>IF($E$8=0,0,E4/$E$8)</f>
        <v/>
      </c>
    </row>
    <row r="5">
      <c r="A5" s="2" t="inlineStr">
        <is>
          <t>Scope 2</t>
        </is>
      </c>
      <c r="B5" s="12">
        <f>SUMIF(PCF!$C$4:$C$14,$A5,PCF!K$4:K$14)</f>
        <v/>
      </c>
      <c r="C5" s="12">
        <f>SUMIF(PCF!$C$4:$C$14,$A5,PCF!L$4:L$14)</f>
        <v/>
      </c>
      <c r="D5" s="12">
        <f>SUMIF(PCF!$C$4:$C$14,$A5,PCF!M$4:M$14)</f>
        <v/>
      </c>
      <c r="E5" s="12">
        <f>(B5*Inputs!$C$11+C5*Inputs!$C$12+D5*Inputs!$C$13)/1000</f>
        <v/>
      </c>
      <c r="F5" s="11">
        <f>IF($E$8=0,0,E5/$E$8)</f>
        <v/>
      </c>
    </row>
    <row r="6">
      <c r="A6" s="2" t="inlineStr">
        <is>
          <t>Scope 3 Cat 1</t>
        </is>
      </c>
      <c r="B6" s="12">
        <f>SUMIF(PCF!$C$4:$C$14,$A6,PCF!K$4:K$14)</f>
        <v/>
      </c>
      <c r="C6" s="12">
        <f>SUMIF(PCF!$C$4:$C$14,$A6,PCF!L$4:L$14)</f>
        <v/>
      </c>
      <c r="D6" s="12">
        <f>SUMIF(PCF!$C$4:$C$14,$A6,PCF!M$4:M$14)</f>
        <v/>
      </c>
      <c r="E6" s="12">
        <f>(B6*Inputs!$C$11+C6*Inputs!$C$12+D6*Inputs!$C$13)/1000</f>
        <v/>
      </c>
      <c r="F6" s="11">
        <f>IF($E$8=0,0,E6/$E$8)</f>
        <v/>
      </c>
    </row>
    <row r="7">
      <c r="A7" s="2" t="inlineStr">
        <is>
          <t>Scope 3 Cat 4</t>
        </is>
      </c>
      <c r="B7" s="12">
        <f>SUMIF(PCF!$C$4:$C$14,$A7,PCF!K$4:K$14)</f>
        <v/>
      </c>
      <c r="C7" s="12">
        <f>SUMIF(PCF!$C$4:$C$14,$A7,PCF!L$4:L$14)</f>
        <v/>
      </c>
      <c r="D7" s="12">
        <f>SUMIF(PCF!$C$4:$C$14,$A7,PCF!M$4:M$14)</f>
        <v/>
      </c>
      <c r="E7" s="12">
        <f>(B7*Inputs!$C$11+C7*Inputs!$C$12+D7*Inputs!$C$13)/1000</f>
        <v/>
      </c>
      <c r="F7" s="11">
        <f>IF($E$8=0,0,E7/$E$8)</f>
        <v/>
      </c>
    </row>
    <row r="8">
      <c r="A8" s="3" t="inlineStr">
        <is>
          <t>Total</t>
        </is>
      </c>
      <c r="E8" s="16">
        <f>SUM(E4:E7)</f>
        <v/>
      </c>
    </row>
    <row r="9"/>
    <row r="10">
      <c r="A10" s="3" t="inlineStr">
        <is>
          <t>Battery capacity produced (MWh)</t>
        </is>
      </c>
      <c r="E10" s="20">
        <f>(Inputs!B11*Inputs!C11+Inputs!B12*Inputs!C12+Inputs!B13*Inputs!C13)/1000</f>
        <v/>
      </c>
    </row>
    <row r="11">
      <c r="A11" s="3" t="inlineStr">
        <is>
          <t>GHG intensity (kg CO2e per kWh produced)</t>
        </is>
      </c>
      <c r="E11" s="12">
        <f>IF(E10=0,0,E8/E10)</f>
        <v/>
      </c>
    </row>
    <row r="12">
      <c r="A12" s="2" t="inlineStr">
        <is>
          <t>Check: Scope 1 from site gas (t CO2e)</t>
        </is>
      </c>
      <c r="E12" s="12">
        <f>Inputs!B6*Inputs!B8/1000</f>
        <v/>
      </c>
    </row>
    <row r="13">
      <c r="A13" s="2" t="inlineStr">
        <is>
          <t>Check: Scope 2 from site electricity (t CO2e)</t>
        </is>
      </c>
      <c r="E13" s="12">
        <f>Inputs!B5*Inputs!B7/1000</f>
        <v/>
      </c>
    </row>
    <row r="14"/>
    <row r="15">
      <c r="A15" s="21" t="inlineStr">
        <is>
          <t>The two checks should match the Scope 1 and Scope 2 totals above, which proves the allocation is complete.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4" customWidth="1" min="3" max="3"/>
    <col width="24" customWidth="1" min="4" max="4"/>
    <col width="26" customWidth="1" min="5" max="5"/>
    <col width="48" customWidth="1" min="6" max="6"/>
  </cols>
  <sheetData>
    <row r="1">
      <c r="A1" s="1" t="inlineStr">
        <is>
          <t>Where each result feeds reporting frameworks (simplified learning overview)</t>
        </is>
      </c>
    </row>
    <row r="2"/>
    <row r="3">
      <c r="A3" s="4" t="inlineStr">
        <is>
          <t>Result</t>
        </is>
      </c>
      <c r="B3" s="4" t="inlineStr">
        <is>
          <t>GHG Protocol</t>
        </is>
      </c>
      <c r="C3" s="4" t="inlineStr">
        <is>
          <t>CSRD (ESRS E1)</t>
        </is>
      </c>
      <c r="D3" s="4" t="inlineStr">
        <is>
          <t>TCFD</t>
        </is>
      </c>
      <c r="E3" s="4" t="inlineStr">
        <is>
          <t>EU Taxonomy</t>
        </is>
      </c>
      <c r="F3" s="4" t="inlineStr">
        <is>
          <t>Transition risk angle</t>
        </is>
      </c>
    </row>
    <row r="4">
      <c r="A4" s="22" t="inlineStr">
        <is>
          <t>Scope 1 (site gas)</t>
        </is>
      </c>
      <c r="B4" s="22" t="inlineStr">
        <is>
          <t>Corporate Standard, Scope 1</t>
        </is>
      </c>
      <c r="C4" s="22" t="inlineStr">
        <is>
          <t>E1-6 gross Scope 1</t>
        </is>
      </c>
      <c r="D4" s="22" t="inlineStr">
        <is>
          <t>Metrics and targets</t>
        </is>
      </c>
      <c r="E4" s="22" t="inlineStr"/>
      <c r="F4" s="22" t="inlineStr">
        <is>
          <t>Carbon pricing on heating fuels (planned EU ETS2) raises gas costs</t>
        </is>
      </c>
    </row>
    <row r="5">
      <c r="A5" s="22" t="inlineStr">
        <is>
          <t>Scope 2 (site electricity)</t>
        </is>
      </c>
      <c r="B5" s="22" t="inlineStr">
        <is>
          <t>Scope 2 Guidance: location and market-based</t>
        </is>
      </c>
      <c r="C5" s="22" t="inlineStr">
        <is>
          <t>E1-6 Scope 2, both methods</t>
        </is>
      </c>
      <c r="D5" s="22" t="inlineStr">
        <is>
          <t>Metrics and targets</t>
        </is>
      </c>
      <c r="E5" s="22" t="inlineStr"/>
      <c r="F5" s="22" t="inlineStr">
        <is>
          <t>Electricity prices; renewable PPAs as a lever</t>
        </is>
      </c>
    </row>
    <row r="6">
      <c r="A6" s="22" t="inlineStr">
        <is>
          <t>Scope 3 Cat 1 (purchased goods)</t>
        </is>
      </c>
      <c r="B6" s="22" t="inlineStr">
        <is>
          <t>Scope 3 Standard, Category 1</t>
        </is>
      </c>
      <c r="C6" s="22" t="inlineStr">
        <is>
          <t>E1-6 significant Scope 3 categories</t>
        </is>
      </c>
      <c r="D6" s="22" t="inlineStr">
        <is>
          <t>Metrics (Scope 3 where material)</t>
        </is>
      </c>
      <c r="E6" s="22" t="inlineStr"/>
      <c r="F6" s="22" t="inlineStr">
        <is>
          <t>Supplier emissions dominate; customers request low-carbon cells</t>
        </is>
      </c>
    </row>
    <row r="7">
      <c r="A7" s="22" t="inlineStr">
        <is>
          <t>Scope 3 Cat 4 (inbound transport)</t>
        </is>
      </c>
      <c r="B7" s="22" t="inlineStr">
        <is>
          <t>Scope 3 Standard, Category 4</t>
        </is>
      </c>
      <c r="C7" s="22" t="inlineStr">
        <is>
          <t>E1-6 Scope 3</t>
        </is>
      </c>
      <c r="D7" s="22" t="inlineStr">
        <is>
          <t>Metrics</t>
        </is>
      </c>
      <c r="E7" s="22" t="inlineStr"/>
      <c r="F7" s="22" t="inlineStr">
        <is>
          <t>Freight decarbonisation and fuel costs</t>
        </is>
      </c>
    </row>
    <row r="8">
      <c r="A8" s="22" t="inlineStr">
        <is>
          <t>PCF per pack</t>
        </is>
      </c>
      <c r="B8" s="22" t="inlineStr">
        <is>
          <t>Product Standard / ISO 14067</t>
        </is>
      </c>
      <c r="C8" s="22" t="inlineStr">
        <is>
          <t>Supports E1 transition plan and targets</t>
        </is>
      </c>
      <c r="D8" s="22" t="inlineStr">
        <is>
          <t>Strategy</t>
        </is>
      </c>
      <c r="E8" s="22" t="inlineStr">
        <is>
          <t>Activity 3.4 Manufacture of batteries</t>
        </is>
      </c>
      <c r="F8" s="22" t="inlineStr">
        <is>
          <t>EU Battery Regulation carbon footprint declarations for certain battery categories</t>
        </is>
      </c>
    </row>
    <row r="9">
      <c r="A9" s="22" t="inlineStr">
        <is>
          <t>GHG intensity</t>
        </is>
      </c>
      <c r="B9" s="22" t="inlineStr"/>
      <c r="C9" s="22" t="inlineStr">
        <is>
          <t>E1-6 intensity is per net revenue; per kWh is an extra product metric</t>
        </is>
      </c>
      <c r="D9" s="22" t="inlineStr">
        <is>
          <t>Metrics</t>
        </is>
      </c>
      <c r="E9" s="22" t="inlineStr"/>
      <c r="F9" s="22" t="inlineStr">
        <is>
          <t>Benchmarking against competitors and customers' targets</t>
        </is>
      </c>
    </row>
    <row r="10">
      <c r="A10" s="22" t="inlineStr">
        <is>
          <t>Aluminium housing</t>
        </is>
      </c>
      <c r="B10" s="22" t="inlineStr">
        <is>
          <t>Scope 3 Cat 1</t>
        </is>
      </c>
      <c r="C10" s="22" t="inlineStr"/>
      <c r="D10" s="22" t="inlineStr">
        <is>
          <t>Risk management</t>
        </is>
      </c>
      <c r="E10" s="22" t="inlineStr"/>
      <c r="F10" s="22" t="inlineStr">
        <is>
          <t>CBAM covers aluminium imports; recycled aluminium reduces cost and footprint exposure</t>
        </is>
      </c>
    </row>
    <row r="11"/>
    <row r="12">
      <c r="A12" s="21" t="inlineStr">
        <is>
          <t>Note: CSRD scope and timelines were revised by the EU Omnibus simplification. Always check the latest regulatory text.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2026-09-27T13:08:50Z</dcterms:created>
  <dcterms:modified xmlns:dcterms="http://purl.org/dc/terms/" xmlns:xsi="http://www.w3.org/2001/XMLSchema-instance" xsi:type="dcterms:W3CDTF">2026-09-27T13:08:50Z</dcterms:modified>
</cp:coreProperties>
</file>