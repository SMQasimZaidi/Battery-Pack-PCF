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Allocation" sheetId="3" state="visible" r:id="rId5"/>
    <sheet name="PCF" sheetId="4" state="visible" r:id="rId6"/>
    <sheet name="Summary" sheetId="5" state="visible" r:id="rId7"/>
    <sheet name="Corporate GHG" sheetId="6" state="visible" r:id="rId8"/>
    <sheet name="Framewor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<sst xmlns="http://schemas.openxmlformats.org/spreadsheetml/2006/main" count="208" uniqueCount="158">
  <si>
    <t xml:space="preserve">Battery pack product carbon footprint (cradle to gate)</t>
  </si>
  <si>
    <t xml:space="preserve">Example Battery Assembly GmbH (fictional), reporting period 2025</t>
  </si>
  <si>
    <t xml:space="preserve">Illustrative portfolio model with literature-style values. Not real company data.</t>
  </si>
  <si>
    <t xml:space="preserve">How to use</t>
  </si>
  <si>
    <t xml:space="preserve">Blue text = inputs you can edit (Inputs and PCF sheets). Black text = formulas.</t>
  </si>
  <si>
    <t xml:space="preserve">Change any blue value and every result updates automatically.</t>
  </si>
  <si>
    <t xml:space="preserve">Method</t>
  </si>
  <si>
    <t xml:space="preserve">Declared unit: one battery pack of each variant (S, M, L).</t>
  </si>
  <si>
    <t xml:space="preserve">Boundary: cradle to gate (materials, inbound transport, pack assembly). Use and end of life excluded.</t>
  </si>
  <si>
    <t xml:space="preserve">Impact: climate change, GWP100, kg CO2e, in line with ISO 14067.</t>
  </si>
  <si>
    <t xml:space="preserve">Site energy allocated to variants by total assembly time (volume x minutes per unit).</t>
  </si>
  <si>
    <t xml:space="preserve">Sheets</t>
  </si>
  <si>
    <t xml:space="preserve">Inputs: site energy, emission factors and variant data</t>
  </si>
  <si>
    <t xml:space="preserve">Allocation: splits site electricity and gas across variants</t>
  </si>
  <si>
    <t xml:space="preserve">PCF: component inventory and footprint per pack</t>
  </si>
  <si>
    <t xml:space="preserve">Summary: hotspots by category</t>
  </si>
  <si>
    <t xml:space="preserve">Corporate GHG: annual Scope 1, 2 and 3 roll-up and intensity</t>
  </si>
  <si>
    <t xml:space="preserve">Frameworks: where each number feeds GHG Protocol, CSRD, TCFD and EU Taxonomy reporting</t>
  </si>
  <si>
    <t xml:space="preserve">Inputs</t>
  </si>
  <si>
    <t xml:space="preserve">Site data</t>
  </si>
  <si>
    <t xml:space="preserve">Value</t>
  </si>
  <si>
    <t xml:space="preserve">Unit</t>
  </si>
  <si>
    <t xml:space="preserve">Reporting period</t>
  </si>
  <si>
    <t xml:space="preserve">2025</t>
  </si>
  <si>
    <t xml:space="preserve">Site electricity</t>
  </si>
  <si>
    <t xml:space="preserve">kWh per year</t>
  </si>
  <si>
    <t xml:space="preserve">Site natural gas</t>
  </si>
  <si>
    <t xml:space="preserve">Grid emission factor (location-based)</t>
  </si>
  <si>
    <t xml:space="preserve">kg CO2e per kWh</t>
  </si>
  <si>
    <t xml:space="preserve">Natural gas emission factor</t>
  </si>
  <si>
    <t xml:space="preserve">Variant</t>
  </si>
  <si>
    <t xml:space="preserve">Capacity (kWh)</t>
  </si>
  <si>
    <t xml:space="preserve">Annual volume (units)</t>
  </si>
  <si>
    <t xml:space="preserve">Assembly time (min per unit)</t>
  </si>
  <si>
    <t xml:space="preserve">S</t>
  </si>
  <si>
    <t xml:space="preserve">M</t>
  </si>
  <si>
    <t xml:space="preserve">L</t>
  </si>
  <si>
    <t xml:space="preserve">Site energy allocation by assembly time</t>
  </si>
  <si>
    <t xml:space="preserve">Annual volume</t>
  </si>
  <si>
    <t xml:space="preserve">Assembly min per unit</t>
  </si>
  <si>
    <t xml:space="preserve">Total assembly time (min)</t>
  </si>
  <si>
    <t xml:space="preserve">Time share</t>
  </si>
  <si>
    <t xml:space="preserve">Electricity (kWh per unit)</t>
  </si>
  <si>
    <t xml:space="preserve">Natural gas (kWh per unit)</t>
  </si>
  <si>
    <t xml:space="preserve">Total</t>
  </si>
  <si>
    <t xml:space="preserve">Product carbon footprint per pack (kg CO2e)</t>
  </si>
  <si>
    <t xml:space="preserve">Component</t>
  </si>
  <si>
    <t xml:space="preserve">Category</t>
  </si>
  <si>
    <t xml:space="preserve">GHG scope</t>
  </si>
  <si>
    <t xml:space="preserve">Data type</t>
  </si>
  <si>
    <t xml:space="preserve">Emission factor (kg CO2e per unit)</t>
  </si>
  <si>
    <t xml:space="preserve">Factor source</t>
  </si>
  <si>
    <t xml:space="preserve">Amount S</t>
  </si>
  <si>
    <t xml:space="preserve">Amount M</t>
  </si>
  <si>
    <t xml:space="preserve">Amount L</t>
  </si>
  <si>
    <t xml:space="preserve">kg CO2e S</t>
  </si>
  <si>
    <t xml:space="preserve">kg CO2e M</t>
  </si>
  <si>
    <t xml:space="preserve">kg CO2e L</t>
  </si>
  <si>
    <t xml:space="preserve">Li-ion cells (NMC811)</t>
  </si>
  <si>
    <t xml:space="preserve">Battery cells</t>
  </si>
  <si>
    <t xml:space="preserve">Scope 3 Cat 1</t>
  </si>
  <si>
    <t xml:space="preserve">Secondary</t>
  </si>
  <si>
    <t xml:space="preserve">kWh</t>
  </si>
  <si>
    <t xml:space="preserve">Illustrative literature value; replace with supplier or Ecoinvent data</t>
  </si>
  <si>
    <t xml:space="preserve">Battery management system (populated PCB)</t>
  </si>
  <si>
    <t xml:space="preserve">Electronics</t>
  </si>
  <si>
    <t xml:space="preserve">kg</t>
  </si>
  <si>
    <t xml:space="preserve">Illustrative Ecoinvent-type value for populated PCB</t>
  </si>
  <si>
    <t xml:space="preserve">Busbars and nickel strips</t>
  </si>
  <si>
    <t xml:space="preserve">Metals</t>
  </si>
  <si>
    <t xml:space="preserve">Illustrative copper/nickel mix</t>
  </si>
  <si>
    <t xml:space="preserve">Housing (primary aluminium)</t>
  </si>
  <si>
    <t xml:space="preserve">Housing</t>
  </si>
  <si>
    <t xml:space="preserve">Illustrative primary aluminium</t>
  </si>
  <si>
    <t xml:space="preserve">Cell holders and insulation (PC/ABS)</t>
  </si>
  <si>
    <t xml:space="preserve">Plastics</t>
  </si>
  <si>
    <t xml:space="preserve">Illustrative engineering plastics</t>
  </si>
  <si>
    <t xml:space="preserve">Thermal pads and adhesive</t>
  </si>
  <si>
    <t xml:space="preserve">Illustrative silicone/adhesive</t>
  </si>
  <si>
    <t xml:space="preserve">Cables and connectors</t>
  </si>
  <si>
    <t xml:space="preserve">Illustrative copper cable</t>
  </si>
  <si>
    <t xml:space="preserve">Packaging (cardboard)</t>
  </si>
  <si>
    <t xml:space="preserve">Packaging</t>
  </si>
  <si>
    <t xml:space="preserve">Illustrative corrugated board</t>
  </si>
  <si>
    <t xml:space="preserve">Inbound transport (sea + truck)</t>
  </si>
  <si>
    <t xml:space="preserve">Transport</t>
  </si>
  <si>
    <t xml:space="preserve">Scope 3 Cat 4</t>
  </si>
  <si>
    <t xml:space="preserve">tkm</t>
  </si>
  <si>
    <t xml:space="preserve">Illustrative blended sea/road freight</t>
  </si>
  <si>
    <t xml:space="preserve">Assembly electricity (allocated)</t>
  </si>
  <si>
    <t xml:space="preserve">Assembly energy</t>
  </si>
  <si>
    <t xml:space="preserve">Scope 2</t>
  </si>
  <si>
    <t xml:space="preserve">Primary</t>
  </si>
  <si>
    <t xml:space="preserve">Location-based grid factor</t>
  </si>
  <si>
    <t xml:space="preserve">Assembly heating, natural gas (allocated)</t>
  </si>
  <si>
    <t xml:space="preserve">Scope 1</t>
  </si>
  <si>
    <t xml:space="preserve">Natural gas combustion factor</t>
  </si>
  <si>
    <t xml:space="preserve">Total PCF (kg CO2e per pack)</t>
  </si>
  <si>
    <t xml:space="preserve">Pack capacity (kWh)</t>
  </si>
  <si>
    <t xml:space="preserve">PCF per kWh capacity (kg CO2e per kWh)</t>
  </si>
  <si>
    <t xml:space="preserve">Battery cell share of PCF</t>
  </si>
  <si>
    <t xml:space="preserve">Hotspots by category (kg CO2e per pack)</t>
  </si>
  <si>
    <t xml:space="preserve">Pack S</t>
  </si>
  <si>
    <t xml:space="preserve">Pack M</t>
  </si>
  <si>
    <t xml:space="preserve">Pack L</t>
  </si>
  <si>
    <t xml:space="preserve">Share S</t>
  </si>
  <si>
    <t xml:space="preserve">Share M</t>
  </si>
  <si>
    <t xml:space="preserve">Share L</t>
  </si>
  <si>
    <t xml:space="preserve">Annual GHG inventory roll-up, 2025 (illustrative)</t>
  </si>
  <si>
    <t xml:space="preserve">Per unit S (kg CO2e)</t>
  </si>
  <si>
    <t xml:space="preserve">Per unit M (kg CO2e)</t>
  </si>
  <si>
    <t xml:space="preserve">Per unit L (kg CO2e)</t>
  </si>
  <si>
    <t xml:space="preserve">Annual total (t CO2e)</t>
  </si>
  <si>
    <t xml:space="preserve">Share</t>
  </si>
  <si>
    <t xml:space="preserve">Battery capacity produced (MWh)</t>
  </si>
  <si>
    <t xml:space="preserve">GHG intensity (kg CO2e per kWh produced)</t>
  </si>
  <si>
    <t xml:space="preserve">Check: Scope 1 from site gas (t CO2e)</t>
  </si>
  <si>
    <t xml:space="preserve">Check: Scope 2 from site electricity (t CO2e)</t>
  </si>
  <si>
    <t xml:space="preserve">The two checks should match the Scope 1 and Scope 2 totals above, which proves the allocation is complete.</t>
  </si>
  <si>
    <t xml:space="preserve">Where each result feeds reporting frameworks (simplified learning overview)</t>
  </si>
  <si>
    <t xml:space="preserve">Result</t>
  </si>
  <si>
    <t xml:space="preserve">GHG Protocol</t>
  </si>
  <si>
    <t xml:space="preserve">CSRD (ESRS E1)</t>
  </si>
  <si>
    <t xml:space="preserve">TCFD</t>
  </si>
  <si>
    <t xml:space="preserve">EU Taxonomy</t>
  </si>
  <si>
    <t xml:space="preserve">Transition risk angle</t>
  </si>
  <si>
    <t xml:space="preserve">Scope 1 (site gas)</t>
  </si>
  <si>
    <t xml:space="preserve">Corporate Standard, Scope 1</t>
  </si>
  <si>
    <t xml:space="preserve">E1-6 gross Scope 1</t>
  </si>
  <si>
    <t xml:space="preserve">Metrics and targets</t>
  </si>
  <si>
    <t xml:space="preserve">Carbon pricing on heating fuels (planned EU ETS2) raises gas costs</t>
  </si>
  <si>
    <t xml:space="preserve">Scope 2 (site electricity)</t>
  </si>
  <si>
    <t xml:space="preserve">Scope 2 Guidance: location and market-based</t>
  </si>
  <si>
    <t xml:space="preserve">E1-6 Scope 2, both methods</t>
  </si>
  <si>
    <t xml:space="preserve">Electricity prices; renewable PPAs as a lever</t>
  </si>
  <si>
    <t xml:space="preserve">Scope 3 Cat 1 (purchased goods)</t>
  </si>
  <si>
    <t xml:space="preserve">Scope 3 Standard, Category 1</t>
  </si>
  <si>
    <t xml:space="preserve">E1-6 significant Scope 3 categories</t>
  </si>
  <si>
    <t xml:space="preserve">Metrics (Scope 3 where material)</t>
  </si>
  <si>
    <t xml:space="preserve">Supplier emissions dominate; customers request low-carbon cells</t>
  </si>
  <si>
    <t xml:space="preserve">Scope 3 Cat 4 (inbound transport)</t>
  </si>
  <si>
    <t xml:space="preserve">Scope 3 Standard, Category 4</t>
  </si>
  <si>
    <t xml:space="preserve">E1-6 Scope 3</t>
  </si>
  <si>
    <t xml:space="preserve">Metrics</t>
  </si>
  <si>
    <t xml:space="preserve">Freight decarbonisation and fuel costs</t>
  </si>
  <si>
    <t xml:space="preserve">PCF per pack</t>
  </si>
  <si>
    <t xml:space="preserve">Product Standard / ISO 14067</t>
  </si>
  <si>
    <t xml:space="preserve">Supports E1 transition plan and targets</t>
  </si>
  <si>
    <t xml:space="preserve">Strategy</t>
  </si>
  <si>
    <t xml:space="preserve">Activity 3.4 Manufacture of batteries</t>
  </si>
  <si>
    <t xml:space="preserve">EU Battery Regulation carbon footprint declarations for certain battery categories</t>
  </si>
  <si>
    <t xml:space="preserve">GHG intensity</t>
  </si>
  <si>
    <t xml:space="preserve">E1-6 intensity is per net revenue; per kWh is an extra product metric</t>
  </si>
  <si>
    <t xml:space="preserve">Benchmarking against competitors and customers' targets</t>
  </si>
  <si>
    <t xml:space="preserve">Aluminium housing</t>
  </si>
  <si>
    <t xml:space="preserve">Risk management</t>
  </si>
  <si>
    <t xml:space="preserve">CBAM covers aluminium imports; recycled aluminium reduces cost and footprint exposure</t>
  </si>
  <si>
    <t xml:space="preserve">Note: CSRD scope and timelines were revised by the EU Omnibus simplification. Always check the latest regulatory text.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</si>
</sst>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"/>
    <numFmt numFmtId="167" formatCode="#,##0.0"/>
    <numFmt numFmtId="168" formatCode="0.0%"/>
    <numFmt numFmtId="169" formatCode="#,##0.00"/>
    <numFmt numFmtId="170" formatCode="0.00"/>
    <numFmt numFmtId="171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21</v>
      </c>
    </row>
    <row r="4" customFormat="false" ht="15" hidden="false" customHeight="false" outlineLevel="0" collapsed="false">
      <c r="A4" s="2" t="s">
        <v>22</v>
      </c>
      <c r="B4" s="5" t="s">
        <v>23</v>
      </c>
      <c r="C4" s="2"/>
    </row>
    <row r="5" customFormat="false" ht="15" hidden="false" customHeight="false" outlineLevel="0" collapsed="false">
      <c r="A5" s="2" t="s">
        <v>24</v>
      </c>
      <c r="B5" s="6" t="n">
        <v>180000</v>
      </c>
      <c r="C5" s="2" t="s">
        <v>25</v>
      </c>
    </row>
    <row r="6" customFormat="false" ht="15" hidden="false" customHeight="false" outlineLevel="0" collapsed="false">
      <c r="A6" s="2" t="s">
        <v>26</v>
      </c>
      <c r="B6" s="6" t="n">
        <v>40000</v>
      </c>
      <c r="C6" s="2" t="s">
        <v>25</v>
      </c>
    </row>
    <row r="7" customFormat="false" ht="15" hidden="false" customHeight="false" outlineLevel="0" collapsed="false">
      <c r="A7" s="2" t="s">
        <v>27</v>
      </c>
      <c r="B7" s="7" t="n">
        <v>0.38</v>
      </c>
      <c r="C7" s="2" t="s">
        <v>28</v>
      </c>
    </row>
    <row r="8" customFormat="false" ht="15" hidden="false" customHeight="false" outlineLevel="0" collapsed="false">
      <c r="A8" s="2" t="s">
        <v>29</v>
      </c>
      <c r="B8" s="7" t="n">
        <v>0.2</v>
      </c>
      <c r="C8" s="2" t="s">
        <v>28</v>
      </c>
    </row>
    <row r="10" customFormat="false" ht="26.85" hidden="false" customHeight="false" outlineLevel="0" collapsed="false">
      <c r="A10" s="4" t="s">
        <v>30</v>
      </c>
      <c r="B10" s="4" t="s">
        <v>31</v>
      </c>
      <c r="C10" s="4" t="s">
        <v>32</v>
      </c>
      <c r="D10" s="4" t="s">
        <v>33</v>
      </c>
    </row>
    <row r="11" customFormat="false" ht="15" hidden="false" customHeight="false" outlineLevel="0" collapsed="false">
      <c r="A11" s="2" t="s">
        <v>34</v>
      </c>
      <c r="B11" s="8" t="n">
        <v>0.5</v>
      </c>
      <c r="C11" s="6" t="n">
        <v>20000</v>
      </c>
      <c r="D11" s="6" t="n">
        <v>12</v>
      </c>
    </row>
    <row r="12" customFormat="false" ht="15" hidden="false" customHeight="false" outlineLevel="0" collapsed="false">
      <c r="A12" s="2" t="s">
        <v>35</v>
      </c>
      <c r="B12" s="8" t="n">
        <v>1</v>
      </c>
      <c r="C12" s="6" t="n">
        <v>15000</v>
      </c>
      <c r="D12" s="6" t="n">
        <v>18</v>
      </c>
    </row>
    <row r="13" customFormat="false" ht="15" hidden="false" customHeight="false" outlineLevel="0" collapsed="false">
      <c r="A13" s="2" t="s">
        <v>36</v>
      </c>
      <c r="B13" s="8" t="n">
        <v>2</v>
      </c>
      <c r="C13" s="6" t="n">
        <v>8000</v>
      </c>
      <c r="D13" s="6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24"/>
  </cols>
  <sheetData>
    <row r="1" customFormat="false" ht="16.15" hidden="false" customHeight="false" outlineLevel="0" collapsed="false">
      <c r="A1" s="1" t="s">
        <v>37</v>
      </c>
    </row>
    <row r="3" customFormat="false" ht="26.85" hidden="false" customHeight="false" outlineLevel="0" collapsed="false">
      <c r="A3" s="4" t="s">
        <v>30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</row>
    <row r="4" customFormat="false" ht="15" hidden="false" customHeight="false" outlineLevel="0" collapsed="false">
      <c r="A4" s="9" t="str">
        <f aca="false">Inputs!A11</f>
        <v>S</v>
      </c>
      <c r="B4" s="10" t="n">
        <f aca="false">Inputs!C11</f>
        <v>20000</v>
      </c>
      <c r="C4" s="10" t="n">
        <f aca="false">Inputs!D11</f>
        <v>12</v>
      </c>
      <c r="D4" s="10" t="n">
        <f aca="false">B4*C4</f>
        <v>240000</v>
      </c>
      <c r="E4" s="11" t="n">
        <f aca="false">D4/SUM($D$4:$D$6)</f>
        <v>0.32</v>
      </c>
      <c r="F4" s="12" t="n">
        <f aca="false">IF(B4=0,0,Inputs!$B$5*E4/B4)</f>
        <v>2.88</v>
      </c>
      <c r="G4" s="12" t="n">
        <f aca="false">IF(B4=0,0,Inputs!$B$6*E4/B4)</f>
        <v>0.64</v>
      </c>
    </row>
    <row r="5" customFormat="false" ht="15" hidden="false" customHeight="false" outlineLevel="0" collapsed="false">
      <c r="A5" s="9" t="str">
        <f aca="false">Inputs!A12</f>
        <v>M</v>
      </c>
      <c r="B5" s="10" t="n">
        <f aca="false">Inputs!C12</f>
        <v>15000</v>
      </c>
      <c r="C5" s="10" t="n">
        <f aca="false">Inputs!D12</f>
        <v>18</v>
      </c>
      <c r="D5" s="10" t="n">
        <f aca="false">B5*C5</f>
        <v>270000</v>
      </c>
      <c r="E5" s="11" t="n">
        <f aca="false">D5/SUM($D$4:$D$6)</f>
        <v>0.36</v>
      </c>
      <c r="F5" s="12" t="n">
        <f aca="false">IF(B5=0,0,Inputs!$B$5*E5/B5)</f>
        <v>4.32</v>
      </c>
      <c r="G5" s="12" t="n">
        <f aca="false">IF(B5=0,0,Inputs!$B$6*E5/B5)</f>
        <v>0.96</v>
      </c>
    </row>
    <row r="6" customFormat="false" ht="15" hidden="false" customHeight="false" outlineLevel="0" collapsed="false">
      <c r="A6" s="9" t="str">
        <f aca="false">Inputs!A13</f>
        <v>L</v>
      </c>
      <c r="B6" s="10" t="n">
        <f aca="false">Inputs!C13</f>
        <v>8000</v>
      </c>
      <c r="C6" s="10" t="n">
        <f aca="false">Inputs!D13</f>
        <v>30</v>
      </c>
      <c r="D6" s="10" t="n">
        <f aca="false">B6*C6</f>
        <v>240000</v>
      </c>
      <c r="E6" s="11" t="n">
        <f aca="false">D6/SUM($D$4:$D$6)</f>
        <v>0.32</v>
      </c>
      <c r="F6" s="12" t="n">
        <f aca="false">IF(B6=0,0,Inputs!$B$5*E6/B6)</f>
        <v>7.2</v>
      </c>
      <c r="G6" s="12" t="n">
        <f aca="false">IF(B6=0,0,Inputs!$B$6*E6/B6)</f>
        <v>1.6</v>
      </c>
    </row>
    <row r="7" customFormat="false" ht="15" hidden="false" customHeight="false" outlineLevel="0" collapsed="false">
      <c r="A7" s="3" t="s">
        <v>44</v>
      </c>
      <c r="D7" s="10" t="n">
        <f aca="false">SUM(D4:D6)</f>
        <v>750000</v>
      </c>
      <c r="E7" s="11" t="n">
        <f aca="false">SUM(E4:E6)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45"/>
    <col collapsed="false" customWidth="true" hidden="false" outlineLevel="0" max="10" min="8" style="0" width="11"/>
    <col collapsed="false" customWidth="true" hidden="false" outlineLevel="0" max="13" min="11" style="0" width="13"/>
  </cols>
  <sheetData>
    <row r="1" customFormat="false" ht="16.15" hidden="false" customHeight="false" outlineLevel="0" collapsed="false">
      <c r="A1" s="1" t="s">
        <v>45</v>
      </c>
    </row>
    <row r="3" customFormat="false" ht="39.55" hidden="false" customHeight="false" outlineLevel="0" collapsed="false">
      <c r="A3" s="4" t="s">
        <v>46</v>
      </c>
      <c r="B3" s="4" t="s">
        <v>47</v>
      </c>
      <c r="C3" s="4" t="s">
        <v>48</v>
      </c>
      <c r="D3" s="4" t="s">
        <v>49</v>
      </c>
      <c r="E3" s="4" t="s">
        <v>21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13" t="n">
        <v>75</v>
      </c>
      <c r="G4" s="2" t="s">
        <v>63</v>
      </c>
      <c r="H4" s="14" t="n">
        <v>0.5</v>
      </c>
      <c r="I4" s="14" t="n">
        <v>1</v>
      </c>
      <c r="J4" s="14" t="n">
        <v>2</v>
      </c>
      <c r="K4" s="12" t="n">
        <f aca="false">$F4*H4</f>
        <v>37.5</v>
      </c>
      <c r="L4" s="12" t="n">
        <f aca="false">$F4*I4</f>
        <v>75</v>
      </c>
      <c r="M4" s="12" t="n">
        <f aca="false">$F4*J4</f>
        <v>150</v>
      </c>
    </row>
    <row r="5" customFormat="false" ht="15" hidden="false" customHeight="false" outlineLevel="0" collapsed="false">
      <c r="A5" s="2" t="s">
        <v>64</v>
      </c>
      <c r="B5" s="2" t="s">
        <v>65</v>
      </c>
      <c r="C5" s="2" t="s">
        <v>60</v>
      </c>
      <c r="D5" s="2" t="s">
        <v>61</v>
      </c>
      <c r="E5" s="2" t="s">
        <v>66</v>
      </c>
      <c r="F5" s="13" t="n">
        <v>100</v>
      </c>
      <c r="G5" s="2" t="s">
        <v>67</v>
      </c>
      <c r="H5" s="14" t="n">
        <v>0.08</v>
      </c>
      <c r="I5" s="14" t="n">
        <v>0.1</v>
      </c>
      <c r="J5" s="14" t="n">
        <v>0.12</v>
      </c>
      <c r="K5" s="12" t="n">
        <f aca="false">$F5*H5</f>
        <v>8</v>
      </c>
      <c r="L5" s="12" t="n">
        <f aca="false">$F5*I5</f>
        <v>10</v>
      </c>
      <c r="M5" s="12" t="n">
        <f aca="false">$F5*J5</f>
        <v>12</v>
      </c>
    </row>
    <row r="6" customFormat="false" ht="15" hidden="false" customHeight="false" outlineLevel="0" collapsed="false">
      <c r="A6" s="2" t="s">
        <v>68</v>
      </c>
      <c r="B6" s="2" t="s">
        <v>69</v>
      </c>
      <c r="C6" s="2" t="s">
        <v>60</v>
      </c>
      <c r="D6" s="2" t="s">
        <v>61</v>
      </c>
      <c r="E6" s="2" t="s">
        <v>66</v>
      </c>
      <c r="F6" s="13" t="n">
        <v>6</v>
      </c>
      <c r="G6" s="2" t="s">
        <v>70</v>
      </c>
      <c r="H6" s="14" t="n">
        <v>0.15</v>
      </c>
      <c r="I6" s="14" t="n">
        <v>0.25</v>
      </c>
      <c r="J6" s="14" t="n">
        <v>0.45</v>
      </c>
      <c r="K6" s="12" t="n">
        <f aca="false">$F6*H6</f>
        <v>0.9</v>
      </c>
      <c r="L6" s="12" t="n">
        <f aca="false">$F6*I6</f>
        <v>1.5</v>
      </c>
      <c r="M6" s="12" t="n">
        <f aca="false">$F6*J6</f>
        <v>2.7</v>
      </c>
    </row>
    <row r="7" customFormat="false" ht="15" hidden="false" customHeight="false" outlineLevel="0" collapsed="false">
      <c r="A7" s="2" t="s">
        <v>71</v>
      </c>
      <c r="B7" s="2" t="s">
        <v>72</v>
      </c>
      <c r="C7" s="2" t="s">
        <v>60</v>
      </c>
      <c r="D7" s="2" t="s">
        <v>61</v>
      </c>
      <c r="E7" s="2" t="s">
        <v>66</v>
      </c>
      <c r="F7" s="13" t="n">
        <v>12</v>
      </c>
      <c r="G7" s="2" t="s">
        <v>73</v>
      </c>
      <c r="H7" s="14" t="n">
        <v>0.8</v>
      </c>
      <c r="I7" s="14" t="n">
        <v>1.2</v>
      </c>
      <c r="J7" s="14" t="n">
        <v>2</v>
      </c>
      <c r="K7" s="12" t="n">
        <f aca="false">$F7*H7</f>
        <v>9.6</v>
      </c>
      <c r="L7" s="12" t="n">
        <f aca="false">$F7*I7</f>
        <v>14.4</v>
      </c>
      <c r="M7" s="12" t="n">
        <f aca="false">$F7*J7</f>
        <v>24</v>
      </c>
    </row>
    <row r="8" customFormat="false" ht="15" hidden="false" customHeight="false" outlineLevel="0" collapsed="false">
      <c r="A8" s="2" t="s">
        <v>74</v>
      </c>
      <c r="B8" s="2" t="s">
        <v>75</v>
      </c>
      <c r="C8" s="2" t="s">
        <v>60</v>
      </c>
      <c r="D8" s="2" t="s">
        <v>61</v>
      </c>
      <c r="E8" s="2" t="s">
        <v>66</v>
      </c>
      <c r="F8" s="13" t="n">
        <v>3.5</v>
      </c>
      <c r="G8" s="2" t="s">
        <v>76</v>
      </c>
      <c r="H8" s="14" t="n">
        <v>0.3</v>
      </c>
      <c r="I8" s="14" t="n">
        <v>0.5</v>
      </c>
      <c r="J8" s="14" t="n">
        <v>0.8</v>
      </c>
      <c r="K8" s="12" t="n">
        <f aca="false">$F8*H8</f>
        <v>1.05</v>
      </c>
      <c r="L8" s="12" t="n">
        <f aca="false">$F8*I8</f>
        <v>1.75</v>
      </c>
      <c r="M8" s="12" t="n">
        <f aca="false">$F8*J8</f>
        <v>2.8</v>
      </c>
    </row>
    <row r="9" customFormat="false" ht="15" hidden="false" customHeight="false" outlineLevel="0" collapsed="false">
      <c r="A9" s="2" t="s">
        <v>77</v>
      </c>
      <c r="B9" s="2" t="s">
        <v>75</v>
      </c>
      <c r="C9" s="2" t="s">
        <v>60</v>
      </c>
      <c r="D9" s="2" t="s">
        <v>61</v>
      </c>
      <c r="E9" s="2" t="s">
        <v>66</v>
      </c>
      <c r="F9" s="13" t="n">
        <v>5</v>
      </c>
      <c r="G9" s="2" t="s">
        <v>78</v>
      </c>
      <c r="H9" s="14" t="n">
        <v>0.05</v>
      </c>
      <c r="I9" s="14" t="n">
        <v>0.08</v>
      </c>
      <c r="J9" s="14" t="n">
        <v>0.15</v>
      </c>
      <c r="K9" s="12" t="n">
        <f aca="false">$F9*H9</f>
        <v>0.25</v>
      </c>
      <c r="L9" s="12" t="n">
        <f aca="false">$F9*I9</f>
        <v>0.4</v>
      </c>
      <c r="M9" s="12" t="n">
        <f aca="false">$F9*J9</f>
        <v>0.75</v>
      </c>
    </row>
    <row r="10" customFormat="false" ht="15" hidden="false" customHeight="false" outlineLevel="0" collapsed="false">
      <c r="A10" s="2" t="s">
        <v>79</v>
      </c>
      <c r="B10" s="2" t="s">
        <v>69</v>
      </c>
      <c r="C10" s="2" t="s">
        <v>60</v>
      </c>
      <c r="D10" s="2" t="s">
        <v>61</v>
      </c>
      <c r="E10" s="2" t="s">
        <v>66</v>
      </c>
      <c r="F10" s="13" t="n">
        <v>5</v>
      </c>
      <c r="G10" s="2" t="s">
        <v>80</v>
      </c>
      <c r="H10" s="14" t="n">
        <v>0.2</v>
      </c>
      <c r="I10" s="14" t="n">
        <v>0.25</v>
      </c>
      <c r="J10" s="14" t="n">
        <v>0.35</v>
      </c>
      <c r="K10" s="12" t="n">
        <f aca="false">$F10*H10</f>
        <v>1</v>
      </c>
      <c r="L10" s="12" t="n">
        <f aca="false">$F10*I10</f>
        <v>1.25</v>
      </c>
      <c r="M10" s="12" t="n">
        <f aca="false">$F10*J10</f>
        <v>1.75</v>
      </c>
    </row>
    <row r="11" customFormat="false" ht="15" hidden="false" customHeight="false" outlineLevel="0" collapsed="false">
      <c r="A11" s="2" t="s">
        <v>81</v>
      </c>
      <c r="B11" s="2" t="s">
        <v>82</v>
      </c>
      <c r="C11" s="2" t="s">
        <v>60</v>
      </c>
      <c r="D11" s="2" t="s">
        <v>61</v>
      </c>
      <c r="E11" s="2" t="s">
        <v>66</v>
      </c>
      <c r="F11" s="13" t="n">
        <v>1</v>
      </c>
      <c r="G11" s="2" t="s">
        <v>83</v>
      </c>
      <c r="H11" s="14" t="n">
        <v>0.5</v>
      </c>
      <c r="I11" s="14" t="n">
        <v>0.7</v>
      </c>
      <c r="J11" s="14" t="n">
        <v>1</v>
      </c>
      <c r="K11" s="12" t="n">
        <f aca="false">$F11*H11</f>
        <v>0.5</v>
      </c>
      <c r="L11" s="12" t="n">
        <f aca="false">$F11*I11</f>
        <v>0.7</v>
      </c>
      <c r="M11" s="12" t="n">
        <f aca="false">$F11*J11</f>
        <v>1</v>
      </c>
    </row>
    <row r="12" customFormat="false" ht="15" hidden="false" customHeight="false" outlineLevel="0" collapsed="false">
      <c r="A12" s="2" t="s">
        <v>84</v>
      </c>
      <c r="B12" s="2" t="s">
        <v>85</v>
      </c>
      <c r="C12" s="2" t="s">
        <v>86</v>
      </c>
      <c r="D12" s="2" t="s">
        <v>61</v>
      </c>
      <c r="E12" s="2" t="s">
        <v>87</v>
      </c>
      <c r="F12" s="13" t="n">
        <v>0.02</v>
      </c>
      <c r="G12" s="2" t="s">
        <v>88</v>
      </c>
      <c r="H12" s="14" t="n">
        <v>42</v>
      </c>
      <c r="I12" s="14" t="n">
        <v>78</v>
      </c>
      <c r="J12" s="14" t="n">
        <v>150</v>
      </c>
      <c r="K12" s="12" t="n">
        <f aca="false">$F12*H12</f>
        <v>0.84</v>
      </c>
      <c r="L12" s="12" t="n">
        <f aca="false">$F12*I12</f>
        <v>1.56</v>
      </c>
      <c r="M12" s="12" t="n">
        <f aca="false">$F12*J12</f>
        <v>3</v>
      </c>
    </row>
    <row r="13" customFormat="false" ht="15" hidden="false" customHeight="false" outlineLevel="0" collapsed="false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62</v>
      </c>
      <c r="F13" s="15" t="n">
        <f aca="false">Inputs!$B$7</f>
        <v>0.38</v>
      </c>
      <c r="G13" s="2" t="s">
        <v>93</v>
      </c>
      <c r="H13" s="12" t="n">
        <f aca="false">Allocation!F4</f>
        <v>2.88</v>
      </c>
      <c r="I13" s="12" t="n">
        <f aca="false">Allocation!F5</f>
        <v>4.32</v>
      </c>
      <c r="J13" s="12" t="n">
        <f aca="false">Allocation!F6</f>
        <v>7.2</v>
      </c>
      <c r="K13" s="12" t="n">
        <f aca="false">$F13*H13</f>
        <v>1.0944</v>
      </c>
      <c r="L13" s="12" t="n">
        <f aca="false">$F13*I13</f>
        <v>1.6416</v>
      </c>
      <c r="M13" s="12" t="n">
        <f aca="false">$F13*J13</f>
        <v>2.736</v>
      </c>
    </row>
    <row r="14" customFormat="false" ht="15" hidden="false" customHeight="false" outlineLevel="0" collapsed="false">
      <c r="A14" s="2" t="s">
        <v>94</v>
      </c>
      <c r="B14" s="2" t="s">
        <v>90</v>
      </c>
      <c r="C14" s="2" t="s">
        <v>95</v>
      </c>
      <c r="D14" s="2" t="s">
        <v>92</v>
      </c>
      <c r="E14" s="2" t="s">
        <v>62</v>
      </c>
      <c r="F14" s="15" t="n">
        <f aca="false">Inputs!$B$8</f>
        <v>0.2</v>
      </c>
      <c r="G14" s="2" t="s">
        <v>96</v>
      </c>
      <c r="H14" s="12" t="n">
        <f aca="false">Allocation!G4</f>
        <v>0.64</v>
      </c>
      <c r="I14" s="12" t="n">
        <f aca="false">Allocation!G5</f>
        <v>0.96</v>
      </c>
      <c r="J14" s="12" t="n">
        <f aca="false">Allocation!G6</f>
        <v>1.6</v>
      </c>
      <c r="K14" s="12" t="n">
        <f aca="false">$F14*H14</f>
        <v>0.128</v>
      </c>
      <c r="L14" s="12" t="n">
        <f aca="false">$F14*I14</f>
        <v>0.192</v>
      </c>
      <c r="M14" s="12" t="n">
        <f aca="false">$F14*J14</f>
        <v>0.32</v>
      </c>
    </row>
    <row r="16" customFormat="false" ht="15" hidden="false" customHeight="false" outlineLevel="0" collapsed="false">
      <c r="A16" s="3" t="s">
        <v>97</v>
      </c>
      <c r="K16" s="16" t="n">
        <f aca="false">SUM(K4:K14)</f>
        <v>60.8624</v>
      </c>
      <c r="L16" s="16" t="n">
        <f aca="false">SUM(L4:L14)</f>
        <v>108.3936</v>
      </c>
      <c r="M16" s="16" t="n">
        <f aca="false">SUM(M4:M14)</f>
        <v>201.056</v>
      </c>
    </row>
    <row r="17" customFormat="false" ht="15" hidden="false" customHeight="false" outlineLevel="0" collapsed="false">
      <c r="A17" s="3" t="s">
        <v>98</v>
      </c>
      <c r="K17" s="17" t="n">
        <f aca="false">Inputs!B11</f>
        <v>0.5</v>
      </c>
      <c r="L17" s="17" t="n">
        <f aca="false">Inputs!B12</f>
        <v>1</v>
      </c>
      <c r="M17" s="17" t="n">
        <f aca="false">Inputs!B13</f>
        <v>2</v>
      </c>
    </row>
    <row r="18" customFormat="false" ht="15" hidden="false" customHeight="false" outlineLevel="0" collapsed="false">
      <c r="A18" s="3" t="s">
        <v>99</v>
      </c>
      <c r="K18" s="18" t="n">
        <f aca="false">IF(K17=0,0,K16/K17)</f>
        <v>121.7248</v>
      </c>
      <c r="L18" s="18" t="n">
        <f aca="false">IF(L17=0,0,L16/L17)</f>
        <v>108.3936</v>
      </c>
      <c r="M18" s="18" t="n">
        <f aca="false">IF(M17=0,0,M16/M17)</f>
        <v>100.528</v>
      </c>
    </row>
    <row r="19" customFormat="false" ht="15" hidden="false" customHeight="false" outlineLevel="0" collapsed="false">
      <c r="A19" s="3" t="s">
        <v>100</v>
      </c>
      <c r="K19" s="19" t="n">
        <f aca="false">IF(K16=0,0,SUMIF($B$4:$B$14,"Battery cells",K4:K14)/K16)</f>
        <v>0.616143957517285</v>
      </c>
      <c r="L19" s="19" t="n">
        <f aca="false">IF(L16=0,0,SUMIF($B$4:$B$14,"Battery cells",L4:L14)/L16)</f>
        <v>0.691922770348065</v>
      </c>
      <c r="M19" s="19" t="n">
        <f aca="false">IF(M16=0,0,SUMIF($B$4:$B$14,"Battery cells",M4:M14)/M16)</f>
        <v>0.746060798981378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4" t="s">
        <v>47</v>
      </c>
      <c r="B3" s="4" t="s">
        <v>102</v>
      </c>
      <c r="C3" s="4" t="s">
        <v>103</v>
      </c>
      <c r="D3" s="4" t="s">
        <v>104</v>
      </c>
      <c r="E3" s="4" t="s">
        <v>105</v>
      </c>
      <c r="F3" s="4" t="s">
        <v>106</v>
      </c>
      <c r="G3" s="4" t="s">
        <v>107</v>
      </c>
    </row>
    <row r="4" customFormat="false" ht="15" hidden="false" customHeight="false" outlineLevel="0" collapsed="false">
      <c r="A4" s="2" t="s">
        <v>59</v>
      </c>
      <c r="B4" s="12" t="n">
        <f aca="false">SUMIF(PCF!$B$4:$B$14,$A4,PCF!K$4:K$14)</f>
        <v>37.5</v>
      </c>
      <c r="C4" s="12" t="n">
        <f aca="false">SUMIF(PCF!$B$4:$B$14,$A4,PCF!L$4:L$14)</f>
        <v>75</v>
      </c>
      <c r="D4" s="12" t="n">
        <f aca="false">SUMIF(PCF!$B$4:$B$14,$A4,PCF!M$4:M$14)</f>
        <v>150</v>
      </c>
      <c r="E4" s="11" t="n">
        <f aca="false">IF(PCF!K$16=0,0,B4/PCF!K$16)</f>
        <v>0.616143957517285</v>
      </c>
      <c r="F4" s="11" t="n">
        <f aca="false">IF(PCF!L$16=0,0,C4/PCF!L$16)</f>
        <v>0.691922770348065</v>
      </c>
      <c r="G4" s="11" t="n">
        <f aca="false">IF(PCF!M$16=0,0,D4/PCF!M$16)</f>
        <v>0.746060798981378</v>
      </c>
    </row>
    <row r="5" customFormat="false" ht="15" hidden="false" customHeight="false" outlineLevel="0" collapsed="false">
      <c r="A5" s="2" t="s">
        <v>65</v>
      </c>
      <c r="B5" s="12" t="n">
        <f aca="false">SUMIF(PCF!$B$4:$B$14,$A5,PCF!K$4:K$14)</f>
        <v>8</v>
      </c>
      <c r="C5" s="12" t="n">
        <f aca="false">SUMIF(PCF!$B$4:$B$14,$A5,PCF!L$4:L$14)</f>
        <v>10</v>
      </c>
      <c r="D5" s="12" t="n">
        <f aca="false">SUMIF(PCF!$B$4:$B$14,$A5,PCF!M$4:M$14)</f>
        <v>12</v>
      </c>
      <c r="E5" s="11" t="n">
        <f aca="false">IF(PCF!K$16=0,0,B5/PCF!K$16)</f>
        <v>0.131444044270354</v>
      </c>
      <c r="F5" s="11" t="n">
        <f aca="false">IF(PCF!L$16=0,0,C5/PCF!L$16)</f>
        <v>0.092256369379742</v>
      </c>
      <c r="G5" s="11" t="n">
        <f aca="false">IF(PCF!M$16=0,0,D5/PCF!M$16)</f>
        <v>0.0596848639185103</v>
      </c>
    </row>
    <row r="6" customFormat="false" ht="15" hidden="false" customHeight="false" outlineLevel="0" collapsed="false">
      <c r="A6" s="2" t="s">
        <v>69</v>
      </c>
      <c r="B6" s="12" t="n">
        <f aca="false">SUMIF(PCF!$B$4:$B$14,$A6,PCF!K$4:K$14)</f>
        <v>1.9</v>
      </c>
      <c r="C6" s="12" t="n">
        <f aca="false">SUMIF(PCF!$B$4:$B$14,$A6,PCF!L$4:L$14)</f>
        <v>2.75</v>
      </c>
      <c r="D6" s="12" t="n">
        <f aca="false">SUMIF(PCF!$B$4:$B$14,$A6,PCF!M$4:M$14)</f>
        <v>4.45</v>
      </c>
      <c r="E6" s="11" t="n">
        <f aca="false">IF(PCF!K$16=0,0,B6/PCF!K$16)</f>
        <v>0.0312179605142091</v>
      </c>
      <c r="F6" s="11" t="n">
        <f aca="false">IF(PCF!L$16=0,0,C6/PCF!L$16)</f>
        <v>0.025370501579429</v>
      </c>
      <c r="G6" s="11" t="n">
        <f aca="false">IF(PCF!M$16=0,0,D6/PCF!M$16)</f>
        <v>0.0221331370364476</v>
      </c>
    </row>
    <row r="7" customFormat="false" ht="15" hidden="false" customHeight="false" outlineLevel="0" collapsed="false">
      <c r="A7" s="2" t="s">
        <v>72</v>
      </c>
      <c r="B7" s="12" t="n">
        <f aca="false">SUMIF(PCF!$B$4:$B$14,$A7,PCF!K$4:K$14)</f>
        <v>9.6</v>
      </c>
      <c r="C7" s="12" t="n">
        <f aca="false">SUMIF(PCF!$B$4:$B$14,$A7,PCF!L$4:L$14)</f>
        <v>14.4</v>
      </c>
      <c r="D7" s="12" t="n">
        <f aca="false">SUMIF(PCF!$B$4:$B$14,$A7,PCF!M$4:M$14)</f>
        <v>24</v>
      </c>
      <c r="E7" s="11" t="n">
        <f aca="false">IF(PCF!K$16=0,0,B7/PCF!K$16)</f>
        <v>0.157732853124425</v>
      </c>
      <c r="F7" s="11" t="n">
        <f aca="false">IF(PCF!L$16=0,0,C7/PCF!L$16)</f>
        <v>0.132849171906828</v>
      </c>
      <c r="G7" s="11" t="n">
        <f aca="false">IF(PCF!M$16=0,0,D7/PCF!M$16)</f>
        <v>0.119369727837021</v>
      </c>
    </row>
    <row r="8" customFormat="false" ht="15" hidden="false" customHeight="false" outlineLevel="0" collapsed="false">
      <c r="A8" s="2" t="s">
        <v>75</v>
      </c>
      <c r="B8" s="12" t="n">
        <f aca="false">SUMIF(PCF!$B$4:$B$14,$A8,PCF!K$4:K$14)</f>
        <v>1.3</v>
      </c>
      <c r="C8" s="12" t="n">
        <f aca="false">SUMIF(PCF!$B$4:$B$14,$A8,PCF!L$4:L$14)</f>
        <v>2.15</v>
      </c>
      <c r="D8" s="12" t="n">
        <f aca="false">SUMIF(PCF!$B$4:$B$14,$A8,PCF!M$4:M$14)</f>
        <v>3.55</v>
      </c>
      <c r="E8" s="11" t="n">
        <f aca="false">IF(PCF!K$16=0,0,B8/PCF!K$16)</f>
        <v>0.0213596571939325</v>
      </c>
      <c r="F8" s="11" t="n">
        <f aca="false">IF(PCF!L$16=0,0,C8/PCF!L$16)</f>
        <v>0.0198351194166445</v>
      </c>
      <c r="G8" s="11" t="n">
        <f aca="false">IF(PCF!M$16=0,0,D8/PCF!M$16)</f>
        <v>0.0176567722425593</v>
      </c>
    </row>
    <row r="9" customFormat="false" ht="15" hidden="false" customHeight="false" outlineLevel="0" collapsed="false">
      <c r="A9" s="2" t="s">
        <v>82</v>
      </c>
      <c r="B9" s="12" t="n">
        <f aca="false">SUMIF(PCF!$B$4:$B$14,$A9,PCF!K$4:K$14)</f>
        <v>0.5</v>
      </c>
      <c r="C9" s="12" t="n">
        <f aca="false">SUMIF(PCF!$B$4:$B$14,$A9,PCF!L$4:L$14)</f>
        <v>0.7</v>
      </c>
      <c r="D9" s="12" t="n">
        <f aca="false">SUMIF(PCF!$B$4:$B$14,$A9,PCF!M$4:M$14)</f>
        <v>1</v>
      </c>
      <c r="E9" s="11" t="n">
        <f aca="false">IF(PCF!K$16=0,0,B9/PCF!K$16)</f>
        <v>0.00821525276689713</v>
      </c>
      <c r="F9" s="11" t="n">
        <f aca="false">IF(PCF!L$16=0,0,C9/PCF!L$16)</f>
        <v>0.00645794585658194</v>
      </c>
      <c r="G9" s="11" t="n">
        <f aca="false">IF(PCF!M$16=0,0,D9/PCF!M$16)</f>
        <v>0.00497373865987586</v>
      </c>
    </row>
    <row r="10" customFormat="false" ht="15" hidden="false" customHeight="false" outlineLevel="0" collapsed="false">
      <c r="A10" s="2" t="s">
        <v>85</v>
      </c>
      <c r="B10" s="12" t="n">
        <f aca="false">SUMIF(PCF!$B$4:$B$14,$A10,PCF!K$4:K$14)</f>
        <v>0.84</v>
      </c>
      <c r="C10" s="12" t="n">
        <f aca="false">SUMIF(PCF!$B$4:$B$14,$A10,PCF!L$4:L$14)</f>
        <v>1.56</v>
      </c>
      <c r="D10" s="12" t="n">
        <f aca="false">SUMIF(PCF!$B$4:$B$14,$A10,PCF!M$4:M$14)</f>
        <v>3</v>
      </c>
      <c r="E10" s="11" t="n">
        <f aca="false">IF(PCF!K$16=0,0,B10/PCF!K$16)</f>
        <v>0.0138016246483872</v>
      </c>
      <c r="F10" s="11" t="n">
        <f aca="false">IF(PCF!L$16=0,0,C10/PCF!L$16)</f>
        <v>0.0143919936232398</v>
      </c>
      <c r="G10" s="11" t="n">
        <f aca="false">IF(PCF!M$16=0,0,D10/PCF!M$16)</f>
        <v>0.0149212159796276</v>
      </c>
    </row>
    <row r="11" customFormat="false" ht="15" hidden="false" customHeight="false" outlineLevel="0" collapsed="false">
      <c r="A11" s="2" t="s">
        <v>90</v>
      </c>
      <c r="B11" s="12" t="n">
        <f aca="false">SUMIF(PCF!$B$4:$B$14,$A11,PCF!K$4:K$14)</f>
        <v>1.2224</v>
      </c>
      <c r="C11" s="12" t="n">
        <f aca="false">SUMIF(PCF!$B$4:$B$14,$A11,PCF!L$4:L$14)</f>
        <v>1.8336</v>
      </c>
      <c r="D11" s="12" t="n">
        <f aca="false">SUMIF(PCF!$B$4:$B$14,$A11,PCF!M$4:M$14)</f>
        <v>3.056</v>
      </c>
      <c r="E11" s="11" t="n">
        <f aca="false">IF(PCF!K$16=0,0,B11/PCF!K$16)</f>
        <v>0.0200846499645101</v>
      </c>
      <c r="F11" s="11" t="n">
        <f aca="false">IF(PCF!L$16=0,0,C11/PCF!L$16)</f>
        <v>0.0169161278894695</v>
      </c>
      <c r="G11" s="11" t="n">
        <f aca="false">IF(PCF!M$16=0,0,D11/PCF!M$16)</f>
        <v>0.0151997453445806</v>
      </c>
    </row>
    <row r="12" customFormat="false" ht="15" hidden="false" customHeight="false" outlineLevel="0" collapsed="false">
      <c r="A12" s="3" t="s">
        <v>44</v>
      </c>
      <c r="B12" s="18" t="n">
        <f aca="false">SUM(B4:B11)</f>
        <v>60.8624</v>
      </c>
      <c r="C12" s="18" t="n">
        <f aca="false">SUM(C4:C11)</f>
        <v>108.3936</v>
      </c>
      <c r="D12" s="18" t="n">
        <f aca="false">SUM(D4:D11)</f>
        <v>201.056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0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108</v>
      </c>
    </row>
    <row r="3" customFormat="false" ht="26.85" hidden="false" customHeight="false" outlineLevel="0" collapsed="false">
      <c r="A3" s="4" t="s">
        <v>48</v>
      </c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</row>
    <row r="4" customFormat="false" ht="15" hidden="false" customHeight="false" outlineLevel="0" collapsed="false">
      <c r="A4" s="2" t="s">
        <v>95</v>
      </c>
      <c r="B4" s="12" t="n">
        <f aca="false">SUMIF(PCF!$C$4:$C$14,$A4,PCF!K$4:K$14)</f>
        <v>0.128</v>
      </c>
      <c r="C4" s="12" t="n">
        <f aca="false">SUMIF(PCF!$C$4:$C$14,$A4,PCF!L$4:L$14)</f>
        <v>0.192</v>
      </c>
      <c r="D4" s="12" t="n">
        <f aca="false">SUMIF(PCF!$C$4:$C$14,$A4,PCF!M$4:M$14)</f>
        <v>0.32</v>
      </c>
      <c r="E4" s="12" t="n">
        <f aca="false">(B4*Inputs!$C$11+C4*Inputs!$C$12+D4*Inputs!$C$13)/1000</f>
        <v>8</v>
      </c>
      <c r="F4" s="11" t="n">
        <f aca="false">IF($E$8=0,0,E4/$E$8)</f>
        <v>0.00179710665828017</v>
      </c>
    </row>
    <row r="5" customFormat="false" ht="15" hidden="false" customHeight="false" outlineLevel="0" collapsed="false">
      <c r="A5" s="2" t="s">
        <v>91</v>
      </c>
      <c r="B5" s="12" t="n">
        <f aca="false">SUMIF(PCF!$C$4:$C$14,$A5,PCF!K$4:K$14)</f>
        <v>1.0944</v>
      </c>
      <c r="C5" s="12" t="n">
        <f aca="false">SUMIF(PCF!$C$4:$C$14,$A5,PCF!L$4:L$14)</f>
        <v>1.6416</v>
      </c>
      <c r="D5" s="12" t="n">
        <f aca="false">SUMIF(PCF!$C$4:$C$14,$A5,PCF!M$4:M$14)</f>
        <v>2.736</v>
      </c>
      <c r="E5" s="12" t="n">
        <f aca="false">(B5*Inputs!$C$11+C5*Inputs!$C$12+D5*Inputs!$C$13)/1000</f>
        <v>68.4</v>
      </c>
      <c r="F5" s="11" t="n">
        <f aca="false">IF($E$8=0,0,E5/$E$8)</f>
        <v>0.0153652619282954</v>
      </c>
    </row>
    <row r="6" customFormat="false" ht="15" hidden="false" customHeight="false" outlineLevel="0" collapsed="false">
      <c r="A6" s="2" t="s">
        <v>60</v>
      </c>
      <c r="B6" s="12" t="n">
        <f aca="false">SUMIF(PCF!$C$4:$C$14,$A6,PCF!K$4:K$14)</f>
        <v>58.8</v>
      </c>
      <c r="C6" s="12" t="n">
        <f aca="false">SUMIF(PCF!$C$4:$C$14,$A6,PCF!L$4:L$14)</f>
        <v>105</v>
      </c>
      <c r="D6" s="12" t="n">
        <f aca="false">SUMIF(PCF!$C$4:$C$14,$A6,PCF!M$4:M$14)</f>
        <v>195</v>
      </c>
      <c r="E6" s="12" t="n">
        <f aca="false">(B6*Inputs!$C$11+C6*Inputs!$C$12+D6*Inputs!$C$13)/1000</f>
        <v>4311</v>
      </c>
      <c r="F6" s="11" t="n">
        <f aca="false">IF($E$8=0,0,E6/$E$8)</f>
        <v>0.968415850480726</v>
      </c>
    </row>
    <row r="7" customFormat="false" ht="15" hidden="false" customHeight="false" outlineLevel="0" collapsed="false">
      <c r="A7" s="2" t="s">
        <v>86</v>
      </c>
      <c r="B7" s="12" t="n">
        <f aca="false">SUMIF(PCF!$C$4:$C$14,$A7,PCF!K$4:K$14)</f>
        <v>0.84</v>
      </c>
      <c r="C7" s="12" t="n">
        <f aca="false">SUMIF(PCF!$C$4:$C$14,$A7,PCF!L$4:L$14)</f>
        <v>1.56</v>
      </c>
      <c r="D7" s="12" t="n">
        <f aca="false">SUMIF(PCF!$C$4:$C$14,$A7,PCF!M$4:M$14)</f>
        <v>3</v>
      </c>
      <c r="E7" s="12" t="n">
        <f aca="false">(B7*Inputs!$C$11+C7*Inputs!$C$12+D7*Inputs!$C$13)/1000</f>
        <v>64.2</v>
      </c>
      <c r="F7" s="11" t="n">
        <f aca="false">IF($E$8=0,0,E7/$E$8)</f>
        <v>0.0144217809326984</v>
      </c>
    </row>
    <row r="8" customFormat="false" ht="15" hidden="false" customHeight="false" outlineLevel="0" collapsed="false">
      <c r="A8" s="3" t="s">
        <v>44</v>
      </c>
      <c r="E8" s="16" t="n">
        <f aca="false">SUM(E4:E7)</f>
        <v>4451.6</v>
      </c>
    </row>
    <row r="10" customFormat="false" ht="15" hidden="false" customHeight="false" outlineLevel="0" collapsed="false">
      <c r="A10" s="3" t="s">
        <v>114</v>
      </c>
      <c r="E10" s="20" t="n">
        <f aca="false">(Inputs!B11*Inputs!C11+Inputs!B12*Inputs!C12+Inputs!B13*Inputs!C13)/1000</f>
        <v>41</v>
      </c>
    </row>
    <row r="11" customFormat="false" ht="15" hidden="false" customHeight="false" outlineLevel="0" collapsed="false">
      <c r="A11" s="3" t="s">
        <v>115</v>
      </c>
      <c r="E11" s="12" t="n">
        <f aca="false">IF(E10=0,0,E8/E10)</f>
        <v>108.575609756098</v>
      </c>
    </row>
    <row r="12" customFormat="false" ht="15" hidden="false" customHeight="false" outlineLevel="0" collapsed="false">
      <c r="A12" s="2" t="s">
        <v>116</v>
      </c>
      <c r="E12" s="12" t="n">
        <f aca="false">Inputs!B6*Inputs!B8/1000</f>
        <v>8</v>
      </c>
    </row>
    <row r="13" customFormat="false" ht="15" hidden="false" customHeight="false" outlineLevel="0" collapsed="false">
      <c r="A13" s="2" t="s">
        <v>117</v>
      </c>
      <c r="E13" s="12" t="n">
        <f aca="false">Inputs!B5*Inputs!B7/1000</f>
        <v>68.4</v>
      </c>
    </row>
    <row r="15" customFormat="false" ht="15" hidden="false" customHeight="false" outlineLevel="0" collapsed="false">
      <c r="A15" s="2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</row>
    <row r="4" customFormat="false" ht="26.85" hidden="false" customHeight="false" outlineLevel="0" collapsed="false">
      <c r="A4" s="22" t="s">
        <v>126</v>
      </c>
      <c r="B4" s="22" t="s">
        <v>127</v>
      </c>
      <c r="C4" s="22" t="s">
        <v>128</v>
      </c>
      <c r="D4" s="22" t="s">
        <v>129</v>
      </c>
      <c r="E4" s="22"/>
      <c r="F4" s="22" t="s">
        <v>130</v>
      </c>
    </row>
    <row r="5" customFormat="false" ht="26.85" hidden="false" customHeight="false" outlineLevel="0" collapsed="false">
      <c r="A5" s="22" t="s">
        <v>131</v>
      </c>
      <c r="B5" s="22" t="s">
        <v>132</v>
      </c>
      <c r="C5" s="22" t="s">
        <v>133</v>
      </c>
      <c r="D5" s="22" t="s">
        <v>129</v>
      </c>
      <c r="E5" s="22"/>
      <c r="F5" s="22" t="s">
        <v>134</v>
      </c>
    </row>
    <row r="6" customFormat="false" ht="26.85" hidden="false" customHeight="false" outlineLevel="0" collapsed="false">
      <c r="A6" s="22" t="s">
        <v>135</v>
      </c>
      <c r="B6" s="22" t="s">
        <v>136</v>
      </c>
      <c r="C6" s="22" t="s">
        <v>137</v>
      </c>
      <c r="D6" s="22" t="s">
        <v>138</v>
      </c>
      <c r="E6" s="22"/>
      <c r="F6" s="22" t="s">
        <v>139</v>
      </c>
    </row>
    <row r="7" customFormat="false" ht="26.85" hidden="false" customHeight="false" outlineLevel="0" collapsed="false">
      <c r="A7" s="22" t="s">
        <v>140</v>
      </c>
      <c r="B7" s="22" t="s">
        <v>141</v>
      </c>
      <c r="C7" s="22" t="s">
        <v>142</v>
      </c>
      <c r="D7" s="22" t="s">
        <v>143</v>
      </c>
      <c r="E7" s="22"/>
      <c r="F7" s="22" t="s">
        <v>144</v>
      </c>
    </row>
    <row r="8" customFormat="false" ht="26.85" hidden="false" customHeight="false" outlineLevel="0" collapsed="false">
      <c r="A8" s="22" t="s">
        <v>145</v>
      </c>
      <c r="B8" s="22" t="s">
        <v>146</v>
      </c>
      <c r="C8" s="22" t="s">
        <v>147</v>
      </c>
      <c r="D8" s="22" t="s">
        <v>148</v>
      </c>
      <c r="E8" s="22" t="s">
        <v>149</v>
      </c>
      <c r="F8" s="22" t="s">
        <v>150</v>
      </c>
    </row>
    <row r="9" customFormat="false" ht="26.85" hidden="false" customHeight="false" outlineLevel="0" collapsed="false">
      <c r="A9" s="22" t="s">
        <v>151</v>
      </c>
      <c r="B9" s="22"/>
      <c r="C9" s="22" t="s">
        <v>152</v>
      </c>
      <c r="D9" s="22" t="s">
        <v>143</v>
      </c>
      <c r="E9" s="22"/>
      <c r="F9" s="22" t="s">
        <v>153</v>
      </c>
    </row>
    <row r="10" customFormat="false" ht="26.85" hidden="false" customHeight="false" outlineLevel="0" collapsed="false">
      <c r="A10" s="22" t="s">
        <v>154</v>
      </c>
      <c r="B10" s="22" t="s">
        <v>60</v>
      </c>
      <c r="C10" s="22"/>
      <c r="D10" s="22" t="s">
        <v>155</v>
      </c>
      <c r="E10" s="22"/>
      <c r="F10" s="22" t="s">
        <v>156</v>
      </c>
    </row>
    <row r="12" customFormat="false" ht="15" hidden="false" customHeight="false" outlineLevel="0" collapsed="false">
      <c r="A12" s="2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2026-09-27T13:08:50Z</dcterms:created>
  <dc:creator>openpyxl</dc:creator>
  <dc:description/>
  <dc:language>en-US</dc:language>
  <cp:lastModifiedBy/>
  <dcterms:modified xsi:type="dcterms:W3CDTF">2026-09-27T13:08:50Z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